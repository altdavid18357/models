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liu/Downloads/"/>
    </mc:Choice>
  </mc:AlternateContent>
  <xr:revisionPtr revIDLastSave="0" documentId="13_ncr:1_{ED06C9DE-5082-F347-88D5-4CDA4C10F7EB}" xr6:coauthVersionLast="47" xr6:coauthVersionMax="47" xr10:uidLastSave="{00000000-0000-0000-0000-000000000000}"/>
  <bookViews>
    <workbookView xWindow="0" yWindow="500" windowWidth="28800" windowHeight="15680" activeTab="1" xr2:uid="{B3F12390-B803-41F7-A0B1-65A97656B71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15" i="2" l="1"/>
  <c r="AM16" i="2" s="1"/>
  <c r="AM18" i="2" s="1"/>
  <c r="AL15" i="2"/>
  <c r="AK15" i="2"/>
  <c r="AH20" i="2"/>
  <c r="AI20" i="2"/>
  <c r="AJ20" i="2"/>
  <c r="AI19" i="2"/>
  <c r="AJ19" i="2"/>
  <c r="AH19" i="2"/>
  <c r="AH18" i="2"/>
  <c r="AI18" i="2"/>
  <c r="AJ18" i="2"/>
  <c r="AI17" i="2"/>
  <c r="AJ17" i="2" s="1"/>
  <c r="AK17" i="2" s="1"/>
  <c r="AL17" i="2" s="1"/>
  <c r="AM17" i="2" s="1"/>
  <c r="AH17" i="2"/>
  <c r="AH16" i="2"/>
  <c r="AI16" i="2"/>
  <c r="AJ16" i="2"/>
  <c r="AK16" i="2"/>
  <c r="AK18" i="2" s="1"/>
  <c r="AJ15" i="2"/>
  <c r="AI15" i="2"/>
  <c r="AM11" i="2"/>
  <c r="AL11" i="2"/>
  <c r="AK11" i="2"/>
  <c r="AJ11" i="2"/>
  <c r="AH15" i="2"/>
  <c r="X28" i="2"/>
  <c r="Y28" i="2"/>
  <c r="W28" i="2"/>
  <c r="AG28" i="2"/>
  <c r="Y25" i="2"/>
  <c r="X25" i="2"/>
  <c r="Y26" i="2"/>
  <c r="X26" i="2"/>
  <c r="AH9" i="2"/>
  <c r="AI9" i="2" s="1"/>
  <c r="W24" i="2"/>
  <c r="S15" i="2"/>
  <c r="S11" i="2"/>
  <c r="W15" i="2"/>
  <c r="W11" i="2"/>
  <c r="W29" i="2" s="1"/>
  <c r="AF12" i="2"/>
  <c r="AF15" i="2" s="1"/>
  <c r="AG10" i="2"/>
  <c r="AG11" i="2" s="1"/>
  <c r="AG29" i="2" s="1"/>
  <c r="AF11" i="2"/>
  <c r="AG14" i="2"/>
  <c r="AG13" i="2"/>
  <c r="AG12" i="2"/>
  <c r="X24" i="2"/>
  <c r="T14" i="2"/>
  <c r="T13" i="2"/>
  <c r="T12" i="2"/>
  <c r="T10" i="2"/>
  <c r="T11" i="2" s="1"/>
  <c r="T29" i="2" s="1"/>
  <c r="X10" i="2"/>
  <c r="X11" i="2" s="1"/>
  <c r="X29" i="2" s="1"/>
  <c r="X14" i="2"/>
  <c r="X13" i="2"/>
  <c r="X12" i="2"/>
  <c r="Y24" i="2"/>
  <c r="U14" i="2"/>
  <c r="U13" i="2"/>
  <c r="U12" i="2"/>
  <c r="U10" i="2"/>
  <c r="U11" i="2" s="1"/>
  <c r="U29" i="2" s="1"/>
  <c r="U32" i="2"/>
  <c r="N4" i="1"/>
  <c r="Y41" i="2"/>
  <c r="Y32" i="2"/>
  <c r="Y10" i="2"/>
  <c r="Y14" i="2"/>
  <c r="Y13" i="2"/>
  <c r="Y12" i="2"/>
  <c r="Y2" i="2"/>
  <c r="X2" i="2"/>
  <c r="W2" i="2"/>
  <c r="AK19" i="2" l="1"/>
  <c r="AK20" i="2" s="1"/>
  <c r="AM19" i="2"/>
  <c r="AM20" i="2" s="1"/>
  <c r="AL16" i="2"/>
  <c r="AL18" i="2" s="1"/>
  <c r="X15" i="2"/>
  <c r="AJ9" i="2"/>
  <c r="AI11" i="2"/>
  <c r="AH11" i="2"/>
  <c r="T15" i="2"/>
  <c r="T16" i="2" s="1"/>
  <c r="T18" i="2" s="1"/>
  <c r="T20" i="2" s="1"/>
  <c r="T21" i="2" s="1"/>
  <c r="S16" i="2"/>
  <c r="S18" i="2" s="1"/>
  <c r="S20" i="2" s="1"/>
  <c r="S21" i="2" s="1"/>
  <c r="W16" i="2"/>
  <c r="W18" i="2" s="1"/>
  <c r="W20" i="2" s="1"/>
  <c r="W21" i="2" s="1"/>
  <c r="AF16" i="2"/>
  <c r="AF18" i="2" s="1"/>
  <c r="AF20" i="2" s="1"/>
  <c r="AF21" i="2" s="1"/>
  <c r="AG15" i="2"/>
  <c r="AG16" i="2" s="1"/>
  <c r="AG18" i="2" s="1"/>
  <c r="AG20" i="2" s="1"/>
  <c r="AG21" i="2" s="1"/>
  <c r="X16" i="2"/>
  <c r="X18" i="2" s="1"/>
  <c r="X20" i="2" s="1"/>
  <c r="X21" i="2" s="1"/>
  <c r="U15" i="2"/>
  <c r="U16" i="2" s="1"/>
  <c r="U18" i="2" s="1"/>
  <c r="U20" i="2" s="1"/>
  <c r="U21" i="2" s="1"/>
  <c r="V2" i="2"/>
  <c r="Z2" i="2" s="1"/>
  <c r="U76" i="2"/>
  <c r="U68" i="2"/>
  <c r="U71" i="2" s="1"/>
  <c r="U66" i="2"/>
  <c r="Y15" i="2"/>
  <c r="AC75" i="2"/>
  <c r="AC73" i="2"/>
  <c r="AB73" i="2"/>
  <c r="AB76" i="2" s="1"/>
  <c r="AD73" i="2"/>
  <c r="AD76" i="2" s="1"/>
  <c r="AD68" i="2"/>
  <c r="AD71" i="2" s="1"/>
  <c r="AC68" i="2"/>
  <c r="AC71" i="2" s="1"/>
  <c r="AB68" i="2"/>
  <c r="AB71" i="2" s="1"/>
  <c r="AD65" i="2"/>
  <c r="AD66" i="2" s="1"/>
  <c r="AD80" i="2" s="1"/>
  <c r="AC65" i="2"/>
  <c r="AC66" i="2" s="1"/>
  <c r="AE66" i="2"/>
  <c r="AB65" i="2"/>
  <c r="AB66" i="2" s="1"/>
  <c r="AC2" i="2"/>
  <c r="AD2" i="2"/>
  <c r="AE2" i="2" s="1"/>
  <c r="AF2" i="2" s="1"/>
  <c r="AG2" i="2" s="1"/>
  <c r="AH2" i="2" s="1"/>
  <c r="AI2" i="2" s="1"/>
  <c r="AJ2" i="2" s="1"/>
  <c r="AK2" i="2" s="1"/>
  <c r="AL2" i="2" s="1"/>
  <c r="AM2" i="2" s="1"/>
  <c r="N5" i="1"/>
  <c r="N8" i="1" s="1"/>
  <c r="AL19" i="2" l="1"/>
  <c r="AL20" i="2" s="1"/>
  <c r="AK9" i="2"/>
  <c r="U78" i="2"/>
  <c r="AH29" i="2"/>
  <c r="AH24" i="2"/>
  <c r="AC76" i="2"/>
  <c r="AC78" i="2" s="1"/>
  <c r="Y11" i="2"/>
  <c r="Y29" i="2" s="1"/>
  <c r="AD82" i="2"/>
  <c r="AD78" i="2"/>
  <c r="AB78" i="2"/>
  <c r="AB82" i="2"/>
  <c r="AB80" i="2"/>
  <c r="AC82" i="2"/>
  <c r="AC83" i="2" s="1"/>
  <c r="AC80" i="2"/>
  <c r="AC81" i="2" l="1"/>
  <c r="AL9" i="2"/>
  <c r="Y16" i="2"/>
  <c r="Y18" i="2" s="1"/>
  <c r="AG24" i="2"/>
  <c r="AI29" i="2"/>
  <c r="AI24" i="2"/>
  <c r="AD83" i="2"/>
  <c r="AD81" i="2"/>
  <c r="AM9" i="2" l="1"/>
  <c r="Y20" i="2"/>
  <c r="AG32" i="2"/>
  <c r="AK29" i="2"/>
  <c r="AK24" i="2"/>
  <c r="AJ29" i="2"/>
  <c r="AJ24" i="2"/>
  <c r="AC56" i="2"/>
  <c r="AB56" i="2"/>
  <c r="AG30" i="2" l="1"/>
  <c r="AH30" i="2"/>
  <c r="Y21" i="2"/>
  <c r="U56" i="2"/>
  <c r="AL29" i="2"/>
  <c r="AL24" i="2"/>
  <c r="AM29" i="2"/>
  <c r="AM24" i="2"/>
  <c r="AH32" i="2" l="1"/>
  <c r="AD56" i="2"/>
  <c r="AE56" i="2" l="1"/>
  <c r="AI30" i="2" l="1"/>
  <c r="AI32" i="2" l="1"/>
  <c r="AJ30" i="2" l="1"/>
  <c r="AJ32" i="2" l="1"/>
  <c r="AK30" i="2" l="1"/>
  <c r="AK32" i="2" l="1"/>
  <c r="AL30" i="2" l="1"/>
  <c r="AL32" i="2" l="1"/>
  <c r="AM30" i="2" l="1"/>
  <c r="AN20" i="2" l="1"/>
  <c r="AM32" i="2"/>
  <c r="AO20" i="2" l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AP26" i="2" l="1"/>
</calcChain>
</file>

<file path=xl/sharedStrings.xml><?xml version="1.0" encoding="utf-8"?>
<sst xmlns="http://schemas.openxmlformats.org/spreadsheetml/2006/main" count="122" uniqueCount="109">
  <si>
    <t>Price</t>
  </si>
  <si>
    <t>Shares</t>
  </si>
  <si>
    <t>MC</t>
  </si>
  <si>
    <t>Cash</t>
  </si>
  <si>
    <t>Debt</t>
  </si>
  <si>
    <t>EV</t>
  </si>
  <si>
    <t>Main</t>
  </si>
  <si>
    <t>Q122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</si>
  <si>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</si>
  <si>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</si>
  <si>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</si>
  <si>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</si>
  <si>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</si>
  <si>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</si>
  <si>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</si>
  <si>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</si>
  <si>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</si>
  <si>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</si>
  <si>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Product</t>
  </si>
  <si>
    <t>Services</t>
  </si>
  <si>
    <t>Revenue</t>
  </si>
  <si>
    <t>COGS</t>
  </si>
  <si>
    <t>Gross Profit</t>
  </si>
  <si>
    <t>R&amp;D</t>
  </si>
  <si>
    <t>S&amp;M</t>
  </si>
  <si>
    <t>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</si>
  <si>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</si>
  <si>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</si>
  <si>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</si>
  <si>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</si>
  <si>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</si>
  <si>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</si>
  <si>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</si>
  <si>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Assets</t>
  </si>
  <si>
    <t>AR</t>
  </si>
  <si>
    <t>Prepaids</t>
  </si>
  <si>
    <t>PP&amp;E</t>
  </si>
  <si>
    <t>Lease</t>
  </si>
  <si>
    <t>Goodwill</t>
  </si>
  <si>
    <t>DT</t>
  </si>
  <si>
    <t>OA</t>
  </si>
  <si>
    <t>AP</t>
  </si>
  <si>
    <t>AE</t>
  </si>
  <si>
    <t>DR</t>
  </si>
  <si>
    <t>OL</t>
  </si>
  <si>
    <t>PIC</t>
  </si>
  <si>
    <t>Retained</t>
  </si>
  <si>
    <t>AOCI</t>
  </si>
  <si>
    <t>Treasury</t>
  </si>
  <si>
    <t>L+SE</t>
  </si>
  <si>
    <t>Net Cash</t>
  </si>
  <si>
    <t>Revenue y/y</t>
  </si>
  <si>
    <t>Model NI</t>
  </si>
  <si>
    <t>Reported NI</t>
  </si>
  <si>
    <t>D&amp;A</t>
  </si>
  <si>
    <t>SBC</t>
  </si>
  <si>
    <t>Investment</t>
  </si>
  <si>
    <t>Other</t>
  </si>
  <si>
    <t>WC</t>
  </si>
  <si>
    <t>CFFO</t>
  </si>
  <si>
    <t>Investments</t>
  </si>
  <si>
    <t>Acquisitions</t>
  </si>
  <si>
    <t>PPE</t>
  </si>
  <si>
    <t>CFFI</t>
  </si>
  <si>
    <t>Buyback</t>
  </si>
  <si>
    <t>CFFF</t>
  </si>
  <si>
    <t>FX</t>
  </si>
  <si>
    <t>CIC</t>
  </si>
  <si>
    <t>Gross Margin</t>
  </si>
  <si>
    <t>USD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</si>
  <si>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</si>
  <si>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</si>
  <si>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</si>
  <si>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</si>
  <si>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</si>
  <si>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</si>
  <si>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</si>
  <si>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</si>
  <si>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</si>
  <si>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</si>
  <si>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</si>
  <si>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RPO y/y</t>
  </si>
  <si>
    <t>FY19</t>
  </si>
  <si>
    <t>Subscription</t>
  </si>
  <si>
    <t>Tax Rate</t>
  </si>
  <si>
    <t>CFFO TTM</t>
  </si>
  <si>
    <t>CFFO TTM y/y</t>
  </si>
  <si>
    <t>FCF TTM</t>
  </si>
  <si>
    <t>Q224</t>
  </si>
  <si>
    <t>FQ224</t>
  </si>
  <si>
    <t>FQ324</t>
  </si>
  <si>
    <t>FQ424</t>
  </si>
  <si>
    <t>FQ423</t>
  </si>
  <si>
    <t>FQ124</t>
  </si>
  <si>
    <t>FQ323</t>
  </si>
  <si>
    <t>FQ223</t>
  </si>
  <si>
    <t>FQ123</t>
  </si>
  <si>
    <t>FQ422</t>
  </si>
  <si>
    <t>Maturity</t>
  </si>
  <si>
    <t>Discount</t>
  </si>
  <si>
    <t>NPV</t>
  </si>
  <si>
    <t>FQ125</t>
  </si>
  <si>
    <t>FQ225</t>
  </si>
  <si>
    <t>FQ325</t>
  </si>
  <si>
    <t>FQ425</t>
  </si>
  <si>
    <t>RPOs</t>
  </si>
  <si>
    <t>Revenue q/q</t>
  </si>
  <si>
    <t>RPO q/q</t>
  </si>
  <si>
    <t>Operating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</si>
</sst>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0" fontId="2" fillId="0" borderId="0" xfId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9" fontId="0" fillId="0" borderId="0" xfId="0" applyNumberForma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165" fontId="0" fillId="0" borderId="0" xfId="0" applyNumberFormat="1"/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EB1E39D7-9536-429A-8816-5F7F73609F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12856</xdr:colOff>
      <xdr:row>0</xdr:row>
      <xdr:rowOff>0</xdr:rowOff>
    </xdr:from>
    <xdr:to>
      <xdr:col>25</xdr:col>
      <xdr:colOff>12856</xdr:colOff>
      <xdr:row>93</xdr:row>
      <xdr:rowOff>23812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3D2170-8042-5328-83CB-E2BE416C36F8}"/>
            </a:ext>
          </a:extLst>
        </xdr:cNvPr>
        <xdr:cNvCxnSpPr/>
      </xdr:nvCxnSpPr>
      <xdr:spPr>
        <a:xfrm>
          <a:off x="17620499" y="0"/>
          <a:ext cx="0" cy="145562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724724</xdr:colOff>
      <xdr:row>0</xdr:row>
      <xdr:rowOff>9072</xdr:rowOff>
    </xdr:from>
    <xdr:to>
      <xdr:col>32</xdr:col>
      <xdr:colOff>724724</xdr:colOff>
      <xdr:row>87</xdr:row>
      <xdr:rowOff>74556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80C6D4-33A2-4BC8-A302-30C3049C7B34}"/>
            </a:ext>
          </a:extLst>
        </xdr:cNvPr>
        <xdr:cNvCxnSpPr/>
      </xdr:nvCxnSpPr>
      <xdr:spPr>
        <a:xfrm>
          <a:off x="23249081" y="9072"/>
          <a:ext cx="0" cy="139447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FF0E-5644-4F51-A6BC-5804C047E9B5}">
  <dimension ref="B3:O9"/>
  <sheetViews>
    <sheetView topLeftCell="F1" zoomScale="205" zoomScaleNormal="205" workbookViewId="0">
      <selection activeCell="N13" sqref="N13"/>
    </sheetView>
  </sheetViews>
  <sheetFormatPr baseColWidth="10" defaultColWidth="8.83203125" defaultRowHeight="13" x14ac:dyDescent="0.15"/>
  <cols>
    <col min="1" max="1" width="3" customWidth="1"/>
    <col min="2" max="2" width="11.33203125" customWidth="1"/>
    <col min="9" max="9" width="5.33203125" customWidth="1"/>
    <col min="10" max="10" width="5.5" customWidth="1"/>
    <col min="11" max="11" width="5.83203125" customWidth="1"/>
    <col min="12" max="12" width="5" customWidth="1"/>
  </cols>
  <sheetData>
    <row r="3" spans="2:15" x14ac:dyDescent="0.15">
      <c r="B3" s="10" t="s">
        <v>18</v>
      </c>
      <c r="M3" t="s">
        <v>0</v>
      </c>
      <c r="N3" s="1">
        <v>44.25</v>
      </c>
    </row>
    <row r="4" spans="2:15" x14ac:dyDescent="0.15">
      <c r="M4" t="s">
        <v>1</v>
      </c>
      <c r="N4" s="3">
        <f>410+80</f>
        <v>490</v>
      </c>
      <c r="O4" s="4" t="s">
        <v>88</v>
      </c>
    </row>
    <row r="5" spans="2:15" x14ac:dyDescent="0.15">
      <c r="M5" t="s">
        <v>2</v>
      </c>
      <c r="N5" s="3">
        <f>+N3*N4</f>
        <v>21682.5</v>
      </c>
    </row>
    <row r="6" spans="2:15" x14ac:dyDescent="0.15">
      <c r="M6" t="s">
        <v>3</v>
      </c>
      <c r="N6" s="3">
        <v>340</v>
      </c>
      <c r="O6" s="4" t="s">
        <v>88</v>
      </c>
    </row>
    <row r="7" spans="2:15" x14ac:dyDescent="0.15">
      <c r="M7" t="s">
        <v>4</v>
      </c>
      <c r="N7" s="3">
        <v>56</v>
      </c>
      <c r="O7" s="4" t="s">
        <v>88</v>
      </c>
    </row>
    <row r="8" spans="2:15" x14ac:dyDescent="0.15">
      <c r="M8" t="s">
        <v>5</v>
      </c>
      <c r="N8" s="3">
        <f>+N5-N6+N7</f>
        <v>21398.5</v>
      </c>
    </row>
    <row r="9" spans="2:15" x14ac:dyDescent="0.15">
      <c r="N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1C3-CEF2-4D80-8F27-1C06F4DB1898}">
  <dimension ref="A1:EC83"/>
  <sheetViews>
    <sheetView tabSelected="1" zoomScale="140" zoomScaleNormal="140" workbookViewId="0">
      <pane xSplit="2" ySplit="3" topLeftCell="AE6" activePane="bottomRight" state="frozen"/>
      <selection pane="topRight" activeCell="C1" sqref="C1"/>
      <selection pane="bottomLeft" activeCell="A4" sqref="A4"/>
      <selection pane="bottomRight" activeCell="AP11" sqref="AP11"/>
    </sheetView>
  </sheetViews>
  <sheetFormatPr baseColWidth="10" defaultColWidth="8.83203125" defaultRowHeight="13" x14ac:dyDescent="0.15"/>
  <cols>
    <col min="1" max="1" width="5" bestFit="1" customWidth="1"/>
    <col min="2" max="2" width="18.1640625" bestFit="1" customWidth="1"/>
    <col min="3" max="5" width="9" style="4" customWidth="1"/>
    <col min="6" max="6" width="8.83203125" style="4" customWidth="1"/>
    <col min="7" max="25" width="9" style="4" customWidth="1"/>
    <col min="29" max="39" width="9.5" customWidth="1"/>
    <col min="42" max="42" width="12" bestFit="1" customWidth="1"/>
  </cols>
  <sheetData>
    <row r="1" spans="1:39" x14ac:dyDescent="0.15">
      <c r="A1" s="2" t="s">
        <v>6</v>
      </c>
    </row>
    <row r="2" spans="1:39" s="11" customFormat="1" x14ac:dyDescent="0.15">
      <c r="C2" s="12"/>
      <c r="D2" s="12"/>
      <c r="E2" s="12"/>
      <c r="F2" s="12">
        <v>44162</v>
      </c>
      <c r="G2" s="12">
        <v>44260</v>
      </c>
      <c r="H2" s="12">
        <v>44351</v>
      </c>
      <c r="I2" s="12">
        <v>44442</v>
      </c>
      <c r="J2" s="12">
        <v>44533</v>
      </c>
      <c r="K2" s="12">
        <v>44624</v>
      </c>
      <c r="L2" s="12">
        <v>44715</v>
      </c>
      <c r="M2" s="12">
        <v>44806</v>
      </c>
      <c r="N2" s="12">
        <v>44897</v>
      </c>
      <c r="O2" s="12">
        <v>44988</v>
      </c>
      <c r="P2" s="12">
        <v>45079</v>
      </c>
      <c r="Q2" s="12">
        <v>45170</v>
      </c>
      <c r="R2" s="12">
        <v>45261</v>
      </c>
      <c r="S2" s="12">
        <v>45352</v>
      </c>
      <c r="T2" s="12">
        <v>45443</v>
      </c>
      <c r="U2" s="12">
        <v>45534</v>
      </c>
      <c r="V2" s="12">
        <f>+R2+366</f>
        <v>45627</v>
      </c>
      <c r="W2" s="12">
        <f>+S2+366</f>
        <v>45718</v>
      </c>
      <c r="X2" s="12">
        <f>+T2+366</f>
        <v>45809</v>
      </c>
      <c r="Y2" s="12">
        <f>+U2+366</f>
        <v>45900</v>
      </c>
      <c r="Z2" s="12">
        <f>+V2+366</f>
        <v>45993</v>
      </c>
      <c r="AC2" s="11">
        <f>+F2</f>
        <v>44162</v>
      </c>
      <c r="AD2" s="11">
        <f>+J2</f>
        <v>44533</v>
      </c>
      <c r="AE2" s="11">
        <f>+AD2+365</f>
        <v>44898</v>
      </c>
      <c r="AF2" s="11">
        <f t="shared" ref="AF2:AM2" si="0">+AE2+365</f>
        <v>45263</v>
      </c>
      <c r="AG2" s="11">
        <f t="shared" si="0"/>
        <v>45628</v>
      </c>
      <c r="AH2" s="11">
        <f t="shared" si="0"/>
        <v>45993</v>
      </c>
      <c r="AI2" s="11">
        <f t="shared" si="0"/>
        <v>46358</v>
      </c>
      <c r="AJ2" s="11">
        <f t="shared" si="0"/>
        <v>46723</v>
      </c>
      <c r="AK2" s="11">
        <f t="shared" si="0"/>
        <v>47088</v>
      </c>
      <c r="AL2" s="11">
        <f t="shared" si="0"/>
        <v>47453</v>
      </c>
      <c r="AM2" s="11">
        <f t="shared" si="0"/>
        <v>47818</v>
      </c>
    </row>
    <row r="3" spans="1:39" x14ac:dyDescent="0.15">
      <c r="B3" t="s">
        <v>69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7</v>
      </c>
      <c r="L3" s="4" t="s">
        <v>16</v>
      </c>
      <c r="M3" s="4" t="s">
        <v>17</v>
      </c>
      <c r="N3" s="4" t="s">
        <v>97</v>
      </c>
      <c r="O3" s="4" t="s">
        <v>96</v>
      </c>
      <c r="P3" s="4" t="s">
        <v>95</v>
      </c>
      <c r="Q3" s="4" t="s">
        <v>94</v>
      </c>
      <c r="R3" s="4" t="s">
        <v>92</v>
      </c>
      <c r="S3" s="4" t="s">
        <v>93</v>
      </c>
      <c r="T3" s="4" t="s">
        <v>89</v>
      </c>
      <c r="U3" s="4" t="s">
        <v>90</v>
      </c>
      <c r="V3" s="4" t="s">
        <v>91</v>
      </c>
      <c r="W3" s="4" t="s">
        <v>101</v>
      </c>
      <c r="X3" s="4" t="s">
        <v>102</v>
      </c>
      <c r="Y3" s="4" t="s">
        <v>103</v>
      </c>
      <c r="Z3" s="4" t="s">
        <v>104</v>
      </c>
      <c r="AB3" s="4" t="s">
        <v>82</v>
      </c>
      <c r="AC3" s="4" t="s">
        <v>70</v>
      </c>
      <c r="AD3" s="4" t="s">
        <v>71</v>
      </c>
      <c r="AE3" s="4" t="s">
        <v>72</v>
      </c>
      <c r="AF3" s="4" t="s">
        <v>73</v>
      </c>
      <c r="AG3" s="4" t="s">
        <v>74</v>
      </c>
      <c r="AH3" s="4" t="s">
        <v>75</v>
      </c>
      <c r="AI3" s="4" t="s">
        <v>76</v>
      </c>
      <c r="AJ3" s="4" t="s">
        <v>77</v>
      </c>
      <c r="AK3" s="4" t="s">
        <v>78</v>
      </c>
      <c r="AL3" s="4" t="s">
        <v>79</v>
      </c>
      <c r="AM3" s="4" t="s">
        <v>80</v>
      </c>
    </row>
    <row r="4" spans="1:39" x14ac:dyDescent="0.15">
      <c r="B4" t="s">
        <v>105</v>
      </c>
      <c r="W4" s="4">
        <v>421</v>
      </c>
      <c r="X4" s="4">
        <v>448.8</v>
      </c>
      <c r="Y4" s="4">
        <v>517.20000000000005</v>
      </c>
      <c r="Z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15">
      <c r="Z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s="3" customFormat="1" x14ac:dyDescent="0.15">
      <c r="B6" s="3" t="s">
        <v>83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V6" s="5"/>
      <c r="W6" s="5"/>
      <c r="X6" s="5"/>
      <c r="Y6" s="5"/>
    </row>
    <row r="7" spans="1:39" s="3" customFormat="1" x14ac:dyDescent="0.15">
      <c r="B7" s="3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V7" s="5"/>
      <c r="W7" s="5"/>
      <c r="X7" s="5"/>
      <c r="Y7" s="5"/>
    </row>
    <row r="8" spans="1:39" s="3" customFormat="1" x14ac:dyDescent="0.15">
      <c r="B8" s="3" t="s">
        <v>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V8" s="5"/>
      <c r="W8" s="5"/>
      <c r="X8" s="5"/>
      <c r="Y8" s="5"/>
    </row>
    <row r="9" spans="1:39" s="6" customFormat="1" x14ac:dyDescent="0.15">
      <c r="B9" s="6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5"/>
      <c r="S9" s="7">
        <v>156.22900000000001</v>
      </c>
      <c r="T9" s="7">
        <v>177.1</v>
      </c>
      <c r="U9" s="7">
        <v>198</v>
      </c>
      <c r="V9" s="7"/>
      <c r="W9" s="7">
        <v>228.2</v>
      </c>
      <c r="X9" s="7">
        <v>249</v>
      </c>
      <c r="Y9" s="7">
        <v>274</v>
      </c>
      <c r="AB9" s="7"/>
      <c r="AC9" s="7"/>
      <c r="AD9" s="7"/>
      <c r="AE9" s="3"/>
      <c r="AF9" s="7">
        <v>504.87400000000002</v>
      </c>
      <c r="AG9" s="7">
        <v>749</v>
      </c>
      <c r="AH9" s="7">
        <f>+AG9*1.4</f>
        <v>1048.5999999999999</v>
      </c>
      <c r="AI9" s="7">
        <f>+AH9*1.4</f>
        <v>1468.0399999999997</v>
      </c>
      <c r="AJ9" s="7">
        <f>+AI9*1.35</f>
        <v>1981.8539999999998</v>
      </c>
      <c r="AK9" s="7">
        <f>+AJ9*1.35</f>
        <v>2675.5029</v>
      </c>
      <c r="AL9" s="7">
        <f>+AK9*1.2</f>
        <v>3210.6034799999998</v>
      </c>
      <c r="AM9" s="7">
        <f>+AL9*1.2</f>
        <v>3852.7241759999997</v>
      </c>
    </row>
    <row r="10" spans="1:39" s="3" customFormat="1" x14ac:dyDescent="0.15">
      <c r="B10" s="3" t="s">
        <v>21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12.79</v>
      </c>
      <c r="T10" s="5">
        <f>39.5-24.8</f>
        <v>14.7</v>
      </c>
      <c r="U10" s="5">
        <f>18.703-3.034</f>
        <v>15.669</v>
      </c>
      <c r="V10" s="5"/>
      <c r="W10" s="5">
        <v>19.452000000000002</v>
      </c>
      <c r="X10" s="5">
        <f>27.9-0.2</f>
        <v>27.7</v>
      </c>
      <c r="Y10" s="5">
        <f>83-42</f>
        <v>41</v>
      </c>
      <c r="AF10" s="5">
        <v>44.5</v>
      </c>
      <c r="AG10" s="5">
        <f>87.574-27.893</f>
        <v>59.680999999999997</v>
      </c>
    </row>
    <row r="11" spans="1:39" s="3" customFormat="1" x14ac:dyDescent="0.15">
      <c r="B11" s="3" t="s">
        <v>22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f>+S9-S10</f>
        <v>143.43900000000002</v>
      </c>
      <c r="T11" s="5">
        <f>+T9-T10</f>
        <v>162.4</v>
      </c>
      <c r="U11" s="5">
        <f>+U9-U10</f>
        <v>182.33099999999999</v>
      </c>
      <c r="V11" s="5"/>
      <c r="W11" s="5">
        <f>+W9-W10</f>
        <v>208.74799999999999</v>
      </c>
      <c r="X11" s="5">
        <f>+X9-X10</f>
        <v>221.3</v>
      </c>
      <c r="Y11" s="5">
        <f>+Y9-Y10</f>
        <v>233</v>
      </c>
      <c r="AF11" s="5">
        <f>+AF9-AF10</f>
        <v>460.37400000000002</v>
      </c>
      <c r="AG11" s="5">
        <f>+AG9-AG10</f>
        <v>689.31899999999996</v>
      </c>
      <c r="AH11" s="3">
        <f>+AH9*0.86</f>
        <v>901.79599999999994</v>
      </c>
      <c r="AI11" s="3">
        <f>+AI9*0.86</f>
        <v>1262.5143999999998</v>
      </c>
      <c r="AJ11" s="3">
        <f>+AJ9*0.89</f>
        <v>1763.8500599999998</v>
      </c>
      <c r="AK11" s="3">
        <f>+AK9*0.92</f>
        <v>2461.4626680000001</v>
      </c>
      <c r="AL11" s="3">
        <f>+AL9*0.91</f>
        <v>2921.6491667999999</v>
      </c>
      <c r="AM11" s="3">
        <f>+AM9*0.91</f>
        <v>3505.9790001599999</v>
      </c>
    </row>
    <row r="12" spans="1:39" s="3" customFormat="1" x14ac:dyDescent="0.15">
      <c r="B12" s="3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52.710999999999999</v>
      </c>
      <c r="T12" s="5">
        <f>535.6-463.255</f>
        <v>72.345000000000027</v>
      </c>
      <c r="U12" s="5">
        <f>104.182-47.308</f>
        <v>56.874000000000002</v>
      </c>
      <c r="V12" s="5"/>
      <c r="W12" s="5">
        <v>69</v>
      </c>
      <c r="X12" s="5">
        <f>83-5.9</f>
        <v>77.099999999999994</v>
      </c>
      <c r="Y12" s="5">
        <f>680-585</f>
        <v>95</v>
      </c>
      <c r="AF12" s="5">
        <f>164-1</f>
        <v>163</v>
      </c>
      <c r="AG12" s="5">
        <f>751-511</f>
        <v>240</v>
      </c>
    </row>
    <row r="13" spans="1:39" s="3" customFormat="1" x14ac:dyDescent="0.15">
      <c r="B13" s="3" t="s">
        <v>24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55.334000000000003</v>
      </c>
      <c r="T13" s="5">
        <f>276.246-186.659</f>
        <v>89.586999999999989</v>
      </c>
      <c r="U13" s="5">
        <f>-20.16+79.29</f>
        <v>59.13000000000001</v>
      </c>
      <c r="V13" s="5"/>
      <c r="W13" s="5">
        <v>68.8</v>
      </c>
      <c r="X13" s="5">
        <f>98-0.5</f>
        <v>97.5</v>
      </c>
      <c r="Y13" s="5">
        <f>274-185</f>
        <v>89</v>
      </c>
      <c r="AF13" s="5">
        <v>201</v>
      </c>
      <c r="AG13" s="5">
        <f>472-206</f>
        <v>266</v>
      </c>
    </row>
    <row r="14" spans="1:39" s="3" customFormat="1" x14ac:dyDescent="0.15">
      <c r="B14" s="3" t="s">
        <v>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22.873000000000001</v>
      </c>
      <c r="T14" s="5">
        <f>220-183.618</f>
        <v>36.382000000000005</v>
      </c>
      <c r="U14" s="5">
        <f>43.8-17.901</f>
        <v>25.898999999999997</v>
      </c>
      <c r="V14" s="5"/>
      <c r="W14" s="5">
        <v>30.233000000000001</v>
      </c>
      <c r="X14" s="5">
        <f>39-0.6</f>
        <v>38.4</v>
      </c>
      <c r="Y14" s="5">
        <f>371-324</f>
        <v>47</v>
      </c>
      <c r="AF14" s="5">
        <v>167</v>
      </c>
      <c r="AG14" s="5">
        <f>315-201.57</f>
        <v>113.43</v>
      </c>
    </row>
    <row r="15" spans="1:39" s="3" customFormat="1" x14ac:dyDescent="0.15">
      <c r="B15" s="3" t="s">
        <v>26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f>SUM(S12:S14)</f>
        <v>130.91800000000001</v>
      </c>
      <c r="T15" s="5">
        <f>SUM(T12:T14)</f>
        <v>198.31400000000002</v>
      </c>
      <c r="U15" s="5">
        <f>SUM(U12:U14)</f>
        <v>141.90300000000002</v>
      </c>
      <c r="V15" s="5"/>
      <c r="W15" s="5">
        <f>SUM(W12:W14)</f>
        <v>168.03300000000002</v>
      </c>
      <c r="X15" s="5">
        <f>SUM(X12:X14)</f>
        <v>213</v>
      </c>
      <c r="Y15" s="5">
        <f>SUM(Y12:Y14)</f>
        <v>231</v>
      </c>
      <c r="AB15" s="5"/>
      <c r="AC15" s="5"/>
      <c r="AD15" s="5"/>
      <c r="AE15" s="5"/>
      <c r="AF15" s="5">
        <f>SUM(AF12:AF14)</f>
        <v>531</v>
      </c>
      <c r="AG15" s="5">
        <f>SUM(AG12:AG14)</f>
        <v>619.43000000000006</v>
      </c>
      <c r="AH15" s="5">
        <f>+AG15*1.3</f>
        <v>805.25900000000013</v>
      </c>
      <c r="AI15" s="5">
        <f>+AH15*1.2</f>
        <v>966.31080000000009</v>
      </c>
      <c r="AJ15" s="5">
        <f>+AI15*1.18</f>
        <v>1140.246744</v>
      </c>
      <c r="AK15" s="5">
        <f>+AJ15*1.16</f>
        <v>1322.68622304</v>
      </c>
      <c r="AL15" s="5">
        <f>+AK15*1.14</f>
        <v>1507.8622942655998</v>
      </c>
      <c r="AM15" s="5">
        <f>+AL15*1.14</f>
        <v>1718.9630154627837</v>
      </c>
    </row>
    <row r="16" spans="1:39" s="3" customFormat="1" x14ac:dyDescent="0.15">
      <c r="B16" s="3" t="s">
        <v>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>S11-S15</f>
        <v>12.521000000000015</v>
      </c>
      <c r="T16" s="5">
        <f>T11-T15</f>
        <v>-35.914000000000016</v>
      </c>
      <c r="U16" s="5">
        <f>U11-U15</f>
        <v>40.427999999999969</v>
      </c>
      <c r="V16" s="5"/>
      <c r="W16" s="5">
        <f>W11-W15</f>
        <v>40.714999999999975</v>
      </c>
      <c r="X16" s="5">
        <f>X11-X15</f>
        <v>8.3000000000000114</v>
      </c>
      <c r="Y16" s="5">
        <f>Y11-Y15</f>
        <v>2</v>
      </c>
      <c r="AB16" s="5"/>
      <c r="AC16" s="5"/>
      <c r="AD16" s="5"/>
      <c r="AE16" s="5"/>
      <c r="AF16" s="5">
        <f>AF11-AF15</f>
        <v>-70.625999999999976</v>
      </c>
      <c r="AG16" s="5">
        <f>AG11-AG15</f>
        <v>69.888999999999896</v>
      </c>
      <c r="AH16" s="5">
        <f t="shared" ref="AH16:AM16" si="1">AH11-AH15</f>
        <v>96.536999999999807</v>
      </c>
      <c r="AI16" s="5">
        <f t="shared" si="1"/>
        <v>296.20359999999971</v>
      </c>
      <c r="AJ16" s="5">
        <f t="shared" si="1"/>
        <v>623.60331599999972</v>
      </c>
      <c r="AK16" s="5">
        <f t="shared" si="1"/>
        <v>1138.7764449600002</v>
      </c>
      <c r="AL16" s="5">
        <f t="shared" si="1"/>
        <v>1413.7868725344001</v>
      </c>
      <c r="AM16" s="5">
        <f t="shared" si="1"/>
        <v>1787.0159846972163</v>
      </c>
    </row>
    <row r="17" spans="2:133" x14ac:dyDescent="0.15">
      <c r="B17" s="3" t="s">
        <v>28</v>
      </c>
      <c r="S17" s="4">
        <v>17</v>
      </c>
      <c r="T17" s="4">
        <v>10</v>
      </c>
      <c r="U17" s="19">
        <v>17.899999999999999</v>
      </c>
      <c r="W17" s="4">
        <v>7</v>
      </c>
      <c r="X17" s="4">
        <v>36</v>
      </c>
      <c r="Y17" s="4">
        <v>29</v>
      </c>
      <c r="AB17" s="3"/>
      <c r="AC17" s="3"/>
      <c r="AD17" s="3"/>
      <c r="AE17" s="3"/>
      <c r="AF17" s="19">
        <v>1019</v>
      </c>
      <c r="AG17" s="19">
        <v>84.361999999999995</v>
      </c>
      <c r="AH17" s="3">
        <f>+AG17*1.03</f>
        <v>86.892859999999999</v>
      </c>
      <c r="AI17" s="3">
        <f t="shared" ref="AI17:AM17" si="2">+AH17*1.03</f>
        <v>89.499645799999996</v>
      </c>
      <c r="AJ17" s="3">
        <f t="shared" si="2"/>
        <v>92.184635173999993</v>
      </c>
      <c r="AK17" s="3">
        <f t="shared" si="2"/>
        <v>94.950174229219996</v>
      </c>
      <c r="AL17" s="3">
        <f t="shared" si="2"/>
        <v>97.798679456096593</v>
      </c>
      <c r="AM17" s="3">
        <f t="shared" si="2"/>
        <v>100.73263983977949</v>
      </c>
    </row>
    <row r="18" spans="2:133" x14ac:dyDescent="0.15">
      <c r="B18" s="3" t="s">
        <v>29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f>+S16+S17</f>
        <v>29.521000000000015</v>
      </c>
      <c r="T18" s="5">
        <f>+T16+T17</f>
        <v>-25.914000000000016</v>
      </c>
      <c r="U18" s="5">
        <f>+U16+U17</f>
        <v>58.327999999999967</v>
      </c>
      <c r="V18" s="5"/>
      <c r="W18" s="5">
        <f>+W16+W17</f>
        <v>47.714999999999975</v>
      </c>
      <c r="X18" s="5">
        <f>+X16+X17</f>
        <v>44.300000000000011</v>
      </c>
      <c r="Y18" s="5">
        <f>+Y16+Y17</f>
        <v>31</v>
      </c>
      <c r="AB18" s="5"/>
      <c r="AC18" s="5"/>
      <c r="AD18" s="5"/>
      <c r="AE18" s="5"/>
      <c r="AF18" s="5">
        <f>+AF16+AF17</f>
        <v>948.37400000000002</v>
      </c>
      <c r="AG18" s="5">
        <f>+AG16+AG17</f>
        <v>154.25099999999989</v>
      </c>
      <c r="AH18" s="5">
        <f t="shared" ref="AH18:AM18" si="3">+AH16+AH17</f>
        <v>183.42985999999979</v>
      </c>
      <c r="AI18" s="5">
        <f t="shared" si="3"/>
        <v>385.70324579999971</v>
      </c>
      <c r="AJ18" s="5">
        <f t="shared" si="3"/>
        <v>715.78795117399977</v>
      </c>
      <c r="AK18" s="5">
        <f t="shared" si="3"/>
        <v>1233.7266191892202</v>
      </c>
      <c r="AL18" s="5">
        <f t="shared" si="3"/>
        <v>1511.5855519904967</v>
      </c>
      <c r="AM18" s="5">
        <f t="shared" si="3"/>
        <v>1887.7486245369957</v>
      </c>
    </row>
    <row r="19" spans="2:133" s="3" customFormat="1" x14ac:dyDescent="0.15">
      <c r="B19" s="3" t="s">
        <v>30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16</v>
      </c>
      <c r="T19" s="5">
        <v>-56</v>
      </c>
      <c r="U19" s="5">
        <v>-13</v>
      </c>
      <c r="V19" s="5"/>
      <c r="W19" s="5">
        <v>2.1</v>
      </c>
      <c r="X19" s="5">
        <v>10.8</v>
      </c>
      <c r="Y19" s="5">
        <v>-10</v>
      </c>
      <c r="AF19" s="5">
        <v>208</v>
      </c>
      <c r="AG19" s="5">
        <v>-60</v>
      </c>
      <c r="AH19" s="3">
        <f>+AH18*0.1</f>
        <v>18.342985999999978</v>
      </c>
      <c r="AI19" s="3">
        <f t="shared" ref="AI19:AM19" si="4">+AI18*0.1</f>
        <v>38.570324579999976</v>
      </c>
      <c r="AJ19" s="3">
        <f t="shared" si="4"/>
        <v>71.578795117399977</v>
      </c>
      <c r="AK19" s="3">
        <f t="shared" si="4"/>
        <v>123.37266191892202</v>
      </c>
      <c r="AL19" s="3">
        <f t="shared" si="4"/>
        <v>151.15855519904969</v>
      </c>
      <c r="AM19" s="3">
        <f t="shared" si="4"/>
        <v>188.7748624536996</v>
      </c>
    </row>
    <row r="20" spans="2:133" x14ac:dyDescent="0.15">
      <c r="B20" s="3" t="s">
        <v>31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f>+S18-S19</f>
        <v>13.521000000000015</v>
      </c>
      <c r="T20" s="5">
        <f>+T18-T19</f>
        <v>30.085999999999984</v>
      </c>
      <c r="U20" s="5">
        <f>+U18-U19</f>
        <v>71.327999999999975</v>
      </c>
      <c r="V20" s="5"/>
      <c r="W20" s="5">
        <f>+W18-W19</f>
        <v>45.614999999999974</v>
      </c>
      <c r="X20" s="5">
        <f>+X18-X19</f>
        <v>33.500000000000014</v>
      </c>
      <c r="Y20" s="5">
        <f>+Y18-Y19</f>
        <v>41</v>
      </c>
      <c r="AB20" s="3"/>
      <c r="AC20" s="3"/>
      <c r="AD20" s="3"/>
      <c r="AE20" s="3"/>
      <c r="AF20" s="5">
        <f>+AF18-AF19</f>
        <v>740.37400000000002</v>
      </c>
      <c r="AG20" s="5">
        <f>+AG18-AG19</f>
        <v>214.25099999999989</v>
      </c>
      <c r="AH20" s="5">
        <f t="shared" ref="AH20:AM20" si="5">+AH18-AH19</f>
        <v>165.08687399999982</v>
      </c>
      <c r="AI20" s="5">
        <f t="shared" si="5"/>
        <v>347.13292121999973</v>
      </c>
      <c r="AJ20" s="5">
        <f t="shared" si="5"/>
        <v>644.2091560565998</v>
      </c>
      <c r="AK20" s="5">
        <f t="shared" si="5"/>
        <v>1110.3539572702982</v>
      </c>
      <c r="AL20" s="5">
        <f t="shared" si="5"/>
        <v>1360.426996791447</v>
      </c>
      <c r="AM20" s="5">
        <f t="shared" si="5"/>
        <v>1698.9737620832962</v>
      </c>
      <c r="AN20" s="3">
        <f>+AM20*(1+$AP$24)</f>
        <v>1715.9634997041292</v>
      </c>
      <c r="AO20" s="3">
        <f t="shared" ref="AO20:CZ20" si="6">+AN20*(1+$AP$24)</f>
        <v>1733.1231347011706</v>
      </c>
      <c r="AP20" s="3">
        <f t="shared" si="6"/>
        <v>1750.4543660481822</v>
      </c>
      <c r="AQ20" s="3">
        <f t="shared" si="6"/>
        <v>1767.9589097086641</v>
      </c>
      <c r="AR20" s="3">
        <f t="shared" si="6"/>
        <v>1785.6384988057507</v>
      </c>
      <c r="AS20" s="3">
        <f t="shared" si="6"/>
        <v>1803.4948837938082</v>
      </c>
      <c r="AT20" s="3">
        <f t="shared" si="6"/>
        <v>1821.5298326317463</v>
      </c>
      <c r="AU20" s="3">
        <f t="shared" si="6"/>
        <v>1839.7451309580638</v>
      </c>
      <c r="AV20" s="3">
        <f t="shared" si="6"/>
        <v>1858.1425822676445</v>
      </c>
      <c r="AW20" s="3">
        <f t="shared" si="6"/>
        <v>1876.7240080903209</v>
      </c>
      <c r="AX20" s="3">
        <f t="shared" si="6"/>
        <v>1895.4912481712242</v>
      </c>
      <c r="AY20" s="3">
        <f t="shared" si="6"/>
        <v>1914.4461606529364</v>
      </c>
      <c r="AZ20" s="3">
        <f t="shared" si="6"/>
        <v>1933.5906222594658</v>
      </c>
      <c r="BA20" s="3">
        <f t="shared" si="6"/>
        <v>1952.9265284820606</v>
      </c>
      <c r="BB20" s="3">
        <f t="shared" si="6"/>
        <v>1972.4557937668812</v>
      </c>
      <c r="BC20" s="3">
        <f t="shared" si="6"/>
        <v>1992.18035170455</v>
      </c>
      <c r="BD20" s="3">
        <f t="shared" si="6"/>
        <v>2012.1021552215955</v>
      </c>
      <c r="BE20" s="3">
        <f t="shared" si="6"/>
        <v>2032.2231767738115</v>
      </c>
      <c r="BF20" s="3">
        <f t="shared" si="6"/>
        <v>2052.5454085415495</v>
      </c>
      <c r="BG20" s="3">
        <f t="shared" si="6"/>
        <v>2073.0708626269652</v>
      </c>
      <c r="BH20" s="3">
        <f t="shared" si="6"/>
        <v>2093.8015712532347</v>
      </c>
      <c r="BI20" s="3">
        <f t="shared" si="6"/>
        <v>2114.7395869657671</v>
      </c>
      <c r="BJ20" s="3">
        <f t="shared" si="6"/>
        <v>2135.886982835425</v>
      </c>
      <c r="BK20" s="3">
        <f t="shared" si="6"/>
        <v>2157.2458526637793</v>
      </c>
      <c r="BL20" s="3">
        <f t="shared" si="6"/>
        <v>2178.8183111904173</v>
      </c>
      <c r="BM20" s="3">
        <f t="shared" si="6"/>
        <v>2200.6064943023216</v>
      </c>
      <c r="BN20" s="3">
        <f t="shared" si="6"/>
        <v>2222.612559245345</v>
      </c>
      <c r="BO20" s="3">
        <f t="shared" si="6"/>
        <v>2244.8386848377986</v>
      </c>
      <c r="BP20" s="3">
        <f t="shared" si="6"/>
        <v>2267.2870716861767</v>
      </c>
      <c r="BQ20" s="3">
        <f t="shared" si="6"/>
        <v>2289.9599424030384</v>
      </c>
      <c r="BR20" s="3">
        <f t="shared" si="6"/>
        <v>2312.8595418270688</v>
      </c>
      <c r="BS20" s="3">
        <f t="shared" si="6"/>
        <v>2335.9881372453397</v>
      </c>
      <c r="BT20" s="3">
        <f t="shared" si="6"/>
        <v>2359.3480186177931</v>
      </c>
      <c r="BU20" s="3">
        <f t="shared" si="6"/>
        <v>2382.9414988039712</v>
      </c>
      <c r="BV20" s="3">
        <f t="shared" si="6"/>
        <v>2406.770913792011</v>
      </c>
      <c r="BW20" s="3">
        <f t="shared" si="6"/>
        <v>2430.8386229299313</v>
      </c>
      <c r="BX20" s="3">
        <f t="shared" si="6"/>
        <v>2455.1470091592305</v>
      </c>
      <c r="BY20" s="3">
        <f t="shared" si="6"/>
        <v>2479.6984792508229</v>
      </c>
      <c r="BZ20" s="3">
        <f t="shared" si="6"/>
        <v>2504.4954640433311</v>
      </c>
      <c r="CA20" s="3">
        <f t="shared" si="6"/>
        <v>2529.5404186837645</v>
      </c>
      <c r="CB20" s="3">
        <f t="shared" si="6"/>
        <v>2554.835822870602</v>
      </c>
      <c r="CC20" s="3">
        <f t="shared" si="6"/>
        <v>2580.3841810993081</v>
      </c>
      <c r="CD20" s="3">
        <f t="shared" si="6"/>
        <v>2606.1880229103012</v>
      </c>
      <c r="CE20" s="3">
        <f t="shared" si="6"/>
        <v>2632.2499031394041</v>
      </c>
      <c r="CF20" s="3">
        <f t="shared" si="6"/>
        <v>2658.5724021707983</v>
      </c>
      <c r="CG20" s="3">
        <f t="shared" si="6"/>
        <v>2685.1581261925062</v>
      </c>
      <c r="CH20" s="3">
        <f t="shared" si="6"/>
        <v>2712.0097074544315</v>
      </c>
      <c r="CI20" s="3">
        <f t="shared" si="6"/>
        <v>2739.1298045289759</v>
      </c>
      <c r="CJ20" s="3">
        <f t="shared" si="6"/>
        <v>2766.5211025742656</v>
      </c>
      <c r="CK20" s="3">
        <f t="shared" si="6"/>
        <v>2794.1863136000084</v>
      </c>
      <c r="CL20" s="3">
        <f t="shared" si="6"/>
        <v>2822.1281767360083</v>
      </c>
      <c r="CM20" s="3">
        <f t="shared" si="6"/>
        <v>2850.3494585033686</v>
      </c>
      <c r="CN20" s="3">
        <f t="shared" si="6"/>
        <v>2878.8529530884025</v>
      </c>
      <c r="CO20" s="3">
        <f t="shared" si="6"/>
        <v>2907.6414826192868</v>
      </c>
      <c r="CP20" s="3">
        <f t="shared" si="6"/>
        <v>2936.7178974454796</v>
      </c>
      <c r="CQ20" s="3">
        <f t="shared" si="6"/>
        <v>2966.0850764199345</v>
      </c>
      <c r="CR20" s="3">
        <f t="shared" si="6"/>
        <v>2995.745927184134</v>
      </c>
      <c r="CS20" s="3">
        <f t="shared" si="6"/>
        <v>3025.7033864559753</v>
      </c>
      <c r="CT20" s="3">
        <f t="shared" si="6"/>
        <v>3055.9604203205349</v>
      </c>
      <c r="CU20" s="3">
        <f t="shared" si="6"/>
        <v>3086.5200245237402</v>
      </c>
      <c r="CV20" s="3">
        <f t="shared" si="6"/>
        <v>3117.3852247689774</v>
      </c>
      <c r="CW20" s="3">
        <f t="shared" si="6"/>
        <v>3148.5590770166673</v>
      </c>
      <c r="CX20" s="3">
        <f t="shared" si="6"/>
        <v>3180.044667786834</v>
      </c>
      <c r="CY20" s="3">
        <f t="shared" si="6"/>
        <v>3211.8451144647024</v>
      </c>
      <c r="CZ20" s="3">
        <f t="shared" si="6"/>
        <v>3243.9635656093496</v>
      </c>
      <c r="DA20" s="3">
        <f t="shared" ref="DA20:EC20" si="7">+CZ20*(1+$AP$24)</f>
        <v>3276.4032012654434</v>
      </c>
      <c r="DB20" s="3">
        <f t="shared" si="7"/>
        <v>3309.1672332780977</v>
      </c>
      <c r="DC20" s="3">
        <f t="shared" si="7"/>
        <v>3342.2589056108786</v>
      </c>
      <c r="DD20" s="3">
        <f t="shared" si="7"/>
        <v>3375.6814946669874</v>
      </c>
      <c r="DE20" s="3">
        <f t="shared" si="7"/>
        <v>3409.4383096136571</v>
      </c>
      <c r="DF20" s="3">
        <f t="shared" si="7"/>
        <v>3443.5326927097935</v>
      </c>
      <c r="DG20" s="3">
        <f t="shared" si="7"/>
        <v>3477.9680196368913</v>
      </c>
      <c r="DH20" s="3">
        <f t="shared" si="7"/>
        <v>3512.7476998332604</v>
      </c>
      <c r="DI20" s="3">
        <f t="shared" si="7"/>
        <v>3547.8751768315929</v>
      </c>
      <c r="DJ20" s="3">
        <f t="shared" si="7"/>
        <v>3583.3539285999086</v>
      </c>
      <c r="DK20" s="3">
        <f t="shared" si="7"/>
        <v>3619.1874678859076</v>
      </c>
      <c r="DL20" s="3">
        <f t="shared" si="7"/>
        <v>3655.3793425647668</v>
      </c>
      <c r="DM20" s="3">
        <f t="shared" si="7"/>
        <v>3691.9331359904145</v>
      </c>
      <c r="DN20" s="3">
        <f t="shared" si="7"/>
        <v>3728.8524673503189</v>
      </c>
      <c r="DO20" s="3">
        <f t="shared" si="7"/>
        <v>3766.140992023822</v>
      </c>
      <c r="DP20" s="3">
        <f t="shared" si="7"/>
        <v>3803.8024019440604</v>
      </c>
      <c r="DQ20" s="3">
        <f t="shared" si="7"/>
        <v>3841.8404259635013</v>
      </c>
      <c r="DR20" s="3">
        <f t="shared" si="7"/>
        <v>3880.2588302231361</v>
      </c>
      <c r="DS20" s="3">
        <f t="shared" si="7"/>
        <v>3919.0614185253676</v>
      </c>
      <c r="DT20" s="3">
        <f t="shared" si="7"/>
        <v>3958.2520327106213</v>
      </c>
      <c r="DU20" s="3">
        <f t="shared" si="7"/>
        <v>3997.8345530377273</v>
      </c>
      <c r="DV20" s="3">
        <f t="shared" si="7"/>
        <v>4037.8128985681046</v>
      </c>
      <c r="DW20" s="3">
        <f t="shared" si="7"/>
        <v>4078.1910275537857</v>
      </c>
      <c r="DX20" s="3">
        <f t="shared" si="7"/>
        <v>4118.9729378293232</v>
      </c>
      <c r="DY20" s="3">
        <f t="shared" si="7"/>
        <v>4160.1626672076163</v>
      </c>
      <c r="DZ20" s="3">
        <f t="shared" si="7"/>
        <v>4201.7642938796926</v>
      </c>
      <c r="EA20" s="3">
        <f t="shared" si="7"/>
        <v>4243.7819368184892</v>
      </c>
      <c r="EB20" s="3">
        <f t="shared" si="7"/>
        <v>4286.2197561866742</v>
      </c>
      <c r="EC20" s="3">
        <f t="shared" si="7"/>
        <v>4329.0819537485413</v>
      </c>
    </row>
    <row r="21" spans="2:133" x14ac:dyDescent="0.15">
      <c r="B21" s="3" t="s">
        <v>32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f>+S20/S22</f>
        <v>7.9535294117647148E-2</v>
      </c>
      <c r="T21" s="8">
        <f>+T20/T22</f>
        <v>0.16003191489361693</v>
      </c>
      <c r="U21" s="8">
        <f>+U20/U22</f>
        <v>0.33965714285714271</v>
      </c>
      <c r="V21" s="8"/>
      <c r="W21" s="8">
        <f>+W20/W22</f>
        <v>0.19746753246753235</v>
      </c>
      <c r="X21" s="8">
        <f>+X20/X22</f>
        <v>0.14502164502164508</v>
      </c>
      <c r="Y21" s="8">
        <f>+Y20/Y22</f>
        <v>0.10173697270471464</v>
      </c>
      <c r="AB21" s="1"/>
      <c r="AC21" s="1"/>
      <c r="AD21" s="1"/>
      <c r="AE21" s="1"/>
      <c r="AF21" s="8">
        <f>+AF20/AF22</f>
        <v>3.7967897435897435</v>
      </c>
      <c r="AG21" s="8">
        <f>+AG20/AG22</f>
        <v>1.0987230769230765</v>
      </c>
      <c r="AH21" s="1"/>
      <c r="AI21" s="1"/>
      <c r="AJ21" s="1"/>
      <c r="AK21" s="1"/>
      <c r="AL21" s="1"/>
      <c r="AM21" s="1"/>
    </row>
    <row r="22" spans="2:133" s="3" customFormat="1" x14ac:dyDescent="0.15">
      <c r="B22" s="3" t="s">
        <v>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170</v>
      </c>
      <c r="T22" s="5">
        <v>188</v>
      </c>
      <c r="U22" s="5">
        <v>210</v>
      </c>
      <c r="V22" s="5"/>
      <c r="W22" s="5">
        <v>231</v>
      </c>
      <c r="X22" s="5">
        <v>231</v>
      </c>
      <c r="Y22" s="5">
        <v>403</v>
      </c>
      <c r="AF22" s="5">
        <v>195</v>
      </c>
      <c r="AG22" s="5">
        <v>195</v>
      </c>
    </row>
    <row r="24" spans="2:133" s="16" customFormat="1" x14ac:dyDescent="0.15">
      <c r="B24" s="6" t="s">
        <v>51</v>
      </c>
      <c r="C24" s="14"/>
      <c r="D24" s="14"/>
      <c r="E24" s="14"/>
      <c r="F24" s="14"/>
      <c r="G24" s="14"/>
      <c r="H24" s="14"/>
      <c r="I24" s="14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>
        <f>+W9/S9-1</f>
        <v>0.46067631489672189</v>
      </c>
      <c r="X24" s="15">
        <f>+X9/T9-1</f>
        <v>0.40598531902879742</v>
      </c>
      <c r="Y24" s="15">
        <f>+Y9/U9-1</f>
        <v>0.38383838383838387</v>
      </c>
      <c r="AC24" s="17"/>
      <c r="AD24" s="17"/>
      <c r="AE24" s="17"/>
      <c r="AF24" s="17"/>
      <c r="AG24" s="17">
        <f t="shared" ref="AG24" si="8">+AG9/AF9-1</f>
        <v>0.48353846702345527</v>
      </c>
      <c r="AH24" s="17">
        <f>+AH9/AG9-1</f>
        <v>0.39999999999999991</v>
      </c>
      <c r="AI24" s="17">
        <f t="shared" ref="AI24:AM24" si="9">+AI9/AH9-1</f>
        <v>0.39999999999999991</v>
      </c>
      <c r="AJ24" s="17">
        <f t="shared" si="9"/>
        <v>0.35000000000000009</v>
      </c>
      <c r="AK24" s="17">
        <f t="shared" si="9"/>
        <v>0.35000000000000009</v>
      </c>
      <c r="AL24" s="17">
        <f t="shared" si="9"/>
        <v>0.19999999999999996</v>
      </c>
      <c r="AM24" s="17">
        <f t="shared" si="9"/>
        <v>0.19999999999999996</v>
      </c>
      <c r="AO24" s="16" t="s">
        <v>98</v>
      </c>
      <c r="AP24" s="17">
        <v>0.01</v>
      </c>
    </row>
    <row r="25" spans="2:133" x14ac:dyDescent="0.15">
      <c r="B25" s="3" t="s">
        <v>106</v>
      </c>
      <c r="J25" s="9"/>
      <c r="K25" s="9"/>
      <c r="L25" s="9"/>
      <c r="M25" s="9"/>
      <c r="N25" s="9"/>
      <c r="X25" s="9">
        <f>+X9/W9-1</f>
        <v>9.114811568799297E-2</v>
      </c>
      <c r="Y25" s="9">
        <f>+Y9/X9-1</f>
        <v>0.10040160642570273</v>
      </c>
      <c r="AO25" t="s">
        <v>99</v>
      </c>
      <c r="AP25" s="18">
        <v>0.08</v>
      </c>
    </row>
    <row r="26" spans="2:133" x14ac:dyDescent="0.15">
      <c r="B26" s="3" t="s">
        <v>107</v>
      </c>
      <c r="J26" s="9"/>
      <c r="K26" s="9"/>
      <c r="L26" s="9"/>
      <c r="M26" s="9"/>
      <c r="N26" s="9"/>
      <c r="X26" s="9">
        <f>+X4/W4-1</f>
        <v>6.6033254156769638E-2</v>
      </c>
      <c r="Y26" s="9">
        <f>+Y4/X4-1</f>
        <v>0.15240641711229963</v>
      </c>
      <c r="AO26" s="16" t="s">
        <v>100</v>
      </c>
      <c r="AP26" s="6">
        <f>NPV(AP25,AH20:EC20)</f>
        <v>19193.966044516183</v>
      </c>
    </row>
    <row r="27" spans="2:133" s="16" customFormat="1" x14ac:dyDescent="0.15">
      <c r="B27" s="6" t="s">
        <v>81</v>
      </c>
      <c r="C27" s="14"/>
      <c r="D27" s="14"/>
      <c r="E27" s="14"/>
      <c r="F27" s="14"/>
      <c r="G27" s="14"/>
      <c r="H27" s="14"/>
      <c r="I27" s="14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4"/>
      <c r="X27" s="14"/>
      <c r="Y27" s="14"/>
    </row>
    <row r="28" spans="2:133" s="16" customFormat="1" x14ac:dyDescent="0.15">
      <c r="B28" s="6" t="s">
        <v>108</v>
      </c>
      <c r="C28" s="14"/>
      <c r="D28" s="14"/>
      <c r="E28" s="14"/>
      <c r="F28" s="14"/>
      <c r="G28" s="14"/>
      <c r="H28" s="14"/>
      <c r="I28" s="1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>
        <f>+W15/S15-1</f>
        <v>0.28349806749262907</v>
      </c>
      <c r="X28" s="15">
        <f t="shared" ref="X28:Y28" si="10">+X15/T15-1</f>
        <v>7.4054277559829185E-2</v>
      </c>
      <c r="Y28" s="15">
        <f t="shared" si="10"/>
        <v>0.62787256083380871</v>
      </c>
      <c r="AG28" s="17">
        <f>+AG15/AF15-1</f>
        <v>0.16653483992467066</v>
      </c>
      <c r="AO28"/>
      <c r="AP28" s="18"/>
    </row>
    <row r="29" spans="2:133" x14ac:dyDescent="0.15">
      <c r="B29" s="3" t="s">
        <v>68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>
        <f>+T11/T9</f>
        <v>0.91699604743083007</v>
      </c>
      <c r="U29" s="9">
        <f>+U11/U9</f>
        <v>0.92086363636363633</v>
      </c>
      <c r="V29" s="9"/>
      <c r="W29" s="9">
        <f>+W11/W9</f>
        <v>0.91475898334794037</v>
      </c>
      <c r="X29" s="9">
        <f>+X11/X9</f>
        <v>0.88875502008032137</v>
      </c>
      <c r="Y29" s="9">
        <f>+Y11/Y9</f>
        <v>0.85036496350364965</v>
      </c>
      <c r="AB29" s="9"/>
      <c r="AC29" s="9"/>
      <c r="AD29" s="9"/>
      <c r="AE29" s="9"/>
      <c r="AF29" s="9"/>
      <c r="AG29" s="9">
        <f>AG11/AG9</f>
        <v>0.92031909212283036</v>
      </c>
      <c r="AH29" s="9">
        <f>AH11/AH9</f>
        <v>0.86</v>
      </c>
      <c r="AI29" s="9">
        <f>AI11/AI9</f>
        <v>0.86</v>
      </c>
      <c r="AJ29" s="9">
        <f>AJ11/AJ9</f>
        <v>0.89</v>
      </c>
      <c r="AK29" s="9">
        <f>AK11/AK9</f>
        <v>0.92</v>
      </c>
      <c r="AL29" s="9">
        <f>AL11/AL9</f>
        <v>0.91</v>
      </c>
      <c r="AM29" s="9">
        <f>AM11/AM9</f>
        <v>0.91</v>
      </c>
    </row>
    <row r="30" spans="2:133" x14ac:dyDescent="0.15">
      <c r="B30" s="3" t="s">
        <v>84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AB30" s="9"/>
      <c r="AC30" s="9"/>
      <c r="AD30" s="9"/>
      <c r="AE30" s="9"/>
      <c r="AF30" s="9"/>
      <c r="AG30" s="9">
        <f>+AG19/AG18</f>
        <v>-0.38897640858081983</v>
      </c>
      <c r="AH30" s="9">
        <f>+AH19/AH18</f>
        <v>9.9999999999999992E-2</v>
      </c>
      <c r="AI30" s="9">
        <f>+AI19/AI18</f>
        <v>0.10000000000000002</v>
      </c>
      <c r="AJ30" s="9">
        <f>+AJ19/AJ18</f>
        <v>0.1</v>
      </c>
      <c r="AK30" s="9">
        <f>+AK19/AK18</f>
        <v>0.1</v>
      </c>
      <c r="AL30" s="9">
        <f>+AL19/AL18</f>
        <v>0.1</v>
      </c>
      <c r="AM30" s="9">
        <f>+AM19/AM18</f>
        <v>0.1</v>
      </c>
    </row>
    <row r="32" spans="2:133" s="3" customFormat="1" x14ac:dyDescent="0.15">
      <c r="B32" s="3" t="s">
        <v>50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3">
        <f>+U33-U45</f>
        <v>469</v>
      </c>
      <c r="V32" s="5"/>
      <c r="W32" s="5"/>
      <c r="X32" s="5"/>
      <c r="Y32" s="5">
        <f>+Y33-Y45</f>
        <v>284</v>
      </c>
      <c r="AA32"/>
      <c r="AG32" s="3">
        <f>+V32</f>
        <v>0</v>
      </c>
      <c r="AH32" s="3">
        <f>+AG32+AH20</f>
        <v>165.08687399999982</v>
      </c>
      <c r="AI32" s="3">
        <f>+AH32+AI20</f>
        <v>512.21979521999958</v>
      </c>
      <c r="AJ32" s="3">
        <f>+AI32+AJ20</f>
        <v>1156.4289512765995</v>
      </c>
      <c r="AK32" s="3">
        <f>+AJ32+AK20</f>
        <v>2266.7829085468975</v>
      </c>
      <c r="AL32" s="3">
        <f>+AK32+AL20</f>
        <v>3627.2099053383445</v>
      </c>
      <c r="AM32" s="3">
        <f>+AL32+AM20</f>
        <v>5326.1836674216411</v>
      </c>
    </row>
    <row r="33" spans="2:25" s="3" customFormat="1" x14ac:dyDescent="0.15">
      <c r="B33" s="3" t="s">
        <v>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3">
        <v>486</v>
      </c>
      <c r="V33" s="5"/>
      <c r="W33" s="5"/>
      <c r="X33" s="5"/>
      <c r="Y33" s="5">
        <v>340</v>
      </c>
    </row>
    <row r="34" spans="2:25" s="3" customFormat="1" x14ac:dyDescent="0.15">
      <c r="B34" s="3" t="s">
        <v>34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V34" s="5"/>
      <c r="W34" s="5"/>
      <c r="X34" s="5"/>
      <c r="Y34" s="5"/>
    </row>
    <row r="35" spans="2:25" s="3" customFormat="1" x14ac:dyDescent="0.15">
      <c r="B35" s="3" t="s">
        <v>35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V35" s="5"/>
      <c r="W35" s="5"/>
      <c r="X35" s="5"/>
      <c r="Y35" s="5"/>
    </row>
    <row r="36" spans="2:25" s="3" customFormat="1" x14ac:dyDescent="0.15">
      <c r="B36" s="3" t="s">
        <v>36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V36" s="5"/>
      <c r="W36" s="5"/>
      <c r="X36" s="5"/>
      <c r="Y36" s="5"/>
    </row>
    <row r="37" spans="2:25" s="3" customFormat="1" x14ac:dyDescent="0.15">
      <c r="B37" s="3" t="s">
        <v>37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V37" s="5"/>
      <c r="W37" s="5"/>
      <c r="X37" s="5"/>
      <c r="Y37" s="5"/>
    </row>
    <row r="38" spans="2:25" s="3" customFormat="1" x14ac:dyDescent="0.15">
      <c r="B38" s="3" t="s">
        <v>38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V38" s="5"/>
      <c r="W38" s="5"/>
      <c r="X38" s="5"/>
      <c r="Y38" s="5"/>
    </row>
    <row r="39" spans="2:25" s="3" customFormat="1" x14ac:dyDescent="0.15">
      <c r="B39" s="3" t="s">
        <v>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V39" s="5"/>
      <c r="W39" s="5"/>
      <c r="X39" s="5"/>
      <c r="Y39" s="5"/>
    </row>
    <row r="40" spans="2:25" s="3" customFormat="1" x14ac:dyDescent="0.15">
      <c r="B40" s="3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V40" s="5"/>
      <c r="W40" s="5"/>
      <c r="X40" s="5"/>
      <c r="Y40" s="5"/>
    </row>
    <row r="41" spans="2:25" s="3" customFormat="1" x14ac:dyDescent="0.15">
      <c r="B41" s="3" t="s">
        <v>33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V41" s="5"/>
      <c r="W41" s="5"/>
      <c r="X41" s="5"/>
      <c r="Y41" s="5">
        <f>SUM(Y33:Y40)</f>
        <v>340</v>
      </c>
    </row>
    <row r="42" spans="2:25" s="3" customFormat="1" x14ac:dyDescent="0.1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2:25" s="3" customFormat="1" x14ac:dyDescent="0.15">
      <c r="B43" s="3" t="s">
        <v>41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V43" s="5"/>
      <c r="W43" s="5"/>
      <c r="X43" s="5"/>
      <c r="Y43" s="5"/>
    </row>
    <row r="44" spans="2:25" s="3" customFormat="1" x14ac:dyDescent="0.15">
      <c r="B44" s="3" t="s">
        <v>42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V44" s="5"/>
      <c r="W44" s="5"/>
      <c r="X44" s="5"/>
      <c r="Y44" s="5"/>
    </row>
    <row r="45" spans="2:25" s="3" customFormat="1" x14ac:dyDescent="0.15">
      <c r="B45" s="3" t="s">
        <v>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3">
        <v>17</v>
      </c>
      <c r="V45" s="5"/>
      <c r="W45" s="5"/>
      <c r="X45" s="5"/>
      <c r="Y45" s="5">
        <v>56</v>
      </c>
    </row>
    <row r="46" spans="2:25" s="3" customFormat="1" x14ac:dyDescent="0.15">
      <c r="B46" s="3" t="s">
        <v>43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V46" s="5"/>
      <c r="W46" s="5"/>
      <c r="X46" s="5"/>
      <c r="Y46" s="5"/>
    </row>
    <row r="47" spans="2:25" s="3" customFormat="1" x14ac:dyDescent="0.15">
      <c r="B47" s="3" t="s">
        <v>30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V47" s="5"/>
      <c r="W47" s="5"/>
      <c r="X47" s="5"/>
      <c r="Y47" s="5"/>
    </row>
    <row r="48" spans="2:25" s="3" customFormat="1" x14ac:dyDescent="0.15">
      <c r="B48" s="3" t="s">
        <v>37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V48" s="5"/>
      <c r="W48" s="5"/>
      <c r="X48" s="5"/>
      <c r="Y48" s="5"/>
    </row>
    <row r="49" spans="2:31" s="3" customFormat="1" x14ac:dyDescent="0.15">
      <c r="B49" s="3" t="s">
        <v>44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V49" s="5"/>
      <c r="W49" s="5"/>
      <c r="X49" s="5"/>
      <c r="Y49" s="5"/>
    </row>
    <row r="50" spans="2:31" s="3" customFormat="1" x14ac:dyDescent="0.15">
      <c r="B50" s="3" t="s">
        <v>45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V50" s="5"/>
      <c r="W50" s="5"/>
      <c r="X50" s="5"/>
      <c r="Y50" s="5"/>
    </row>
    <row r="51" spans="2:31" s="3" customFormat="1" x14ac:dyDescent="0.15">
      <c r="B51" s="3" t="s">
        <v>46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V51" s="5"/>
      <c r="W51" s="5"/>
      <c r="X51" s="5"/>
      <c r="Y51" s="5"/>
    </row>
    <row r="52" spans="2:31" s="3" customFormat="1" x14ac:dyDescent="0.15">
      <c r="B52" s="3" t="s">
        <v>47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V52" s="5"/>
      <c r="W52" s="5"/>
      <c r="X52" s="5"/>
      <c r="Y52" s="5"/>
    </row>
    <row r="53" spans="2:31" s="3" customFormat="1" x14ac:dyDescent="0.15">
      <c r="B53" s="3" t="s">
        <v>48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V53" s="5"/>
      <c r="W53" s="5"/>
      <c r="X53" s="5"/>
      <c r="Y53" s="5"/>
    </row>
    <row r="54" spans="2:31" s="3" customFormat="1" x14ac:dyDescent="0.15">
      <c r="B54" s="3" t="s">
        <v>49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V54" s="5"/>
      <c r="W54" s="5"/>
      <c r="X54" s="5"/>
      <c r="Y54" s="5"/>
    </row>
    <row r="55" spans="2:31" s="3" customFormat="1" x14ac:dyDescent="0.15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2:31" s="3" customFormat="1" x14ac:dyDescent="0.15">
      <c r="B56" s="3" t="s">
        <v>52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f>Y20</f>
        <v>41</v>
      </c>
      <c r="V56" s="5"/>
      <c r="W56" s="5"/>
      <c r="X56" s="5"/>
      <c r="Y56" s="5"/>
      <c r="AB56" s="5">
        <f>AB20</f>
        <v>0</v>
      </c>
      <c r="AC56" s="5">
        <f>AC20</f>
        <v>0</v>
      </c>
      <c r="AD56" s="5">
        <f>AD20</f>
        <v>0</v>
      </c>
      <c r="AE56" s="5">
        <f>AE20</f>
        <v>0</v>
      </c>
    </row>
    <row r="57" spans="2:31" s="3" customFormat="1" x14ac:dyDescent="0.15">
      <c r="B57" s="3" t="s">
        <v>53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1684</v>
      </c>
      <c r="V57" s="5"/>
      <c r="W57" s="5"/>
      <c r="X57" s="5"/>
      <c r="Y57" s="5"/>
      <c r="AB57" s="3">
        <v>2951</v>
      </c>
      <c r="AC57" s="3">
        <v>5260</v>
      </c>
      <c r="AD57" s="3">
        <v>4822</v>
      </c>
    </row>
    <row r="58" spans="2:31" s="3" customFormat="1" x14ac:dyDescent="0.15">
      <c r="B58" s="3" t="s">
        <v>54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213</v>
      </c>
      <c r="V58" s="5"/>
      <c r="W58" s="5"/>
      <c r="X58" s="5"/>
      <c r="Y58" s="5"/>
      <c r="AB58" s="3">
        <v>757</v>
      </c>
      <c r="AC58" s="3">
        <v>757</v>
      </c>
      <c r="AD58" s="3">
        <v>788</v>
      </c>
    </row>
    <row r="59" spans="2:31" s="3" customFormat="1" x14ac:dyDescent="0.15">
      <c r="B59" s="3" t="s">
        <v>55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474</v>
      </c>
      <c r="V59" s="5"/>
      <c r="W59" s="5"/>
      <c r="X59" s="5"/>
      <c r="Y59" s="5"/>
      <c r="AB59" s="3">
        <v>788</v>
      </c>
      <c r="AC59" s="3">
        <v>909</v>
      </c>
      <c r="AD59" s="3">
        <v>1069</v>
      </c>
    </row>
    <row r="60" spans="2:31" s="3" customFormat="1" x14ac:dyDescent="0.15">
      <c r="B60" s="3" t="s">
        <v>37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AB60" s="3">
        <v>0</v>
      </c>
      <c r="AC60" s="3">
        <v>87</v>
      </c>
      <c r="AD60" s="3">
        <v>73</v>
      </c>
    </row>
    <row r="61" spans="2:31" s="3" customFormat="1" x14ac:dyDescent="0.15">
      <c r="B61" s="3" t="s">
        <v>39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0</v>
      </c>
      <c r="V61" s="5"/>
      <c r="W61" s="5"/>
      <c r="X61" s="5"/>
      <c r="Y61" s="5"/>
      <c r="AB61" s="3">
        <v>3</v>
      </c>
      <c r="AC61" s="3">
        <v>-1501</v>
      </c>
      <c r="AD61" s="3">
        <v>183</v>
      </c>
    </row>
    <row r="62" spans="2:31" s="3" customFormat="1" x14ac:dyDescent="0.15">
      <c r="B62" s="3" t="s">
        <v>56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-10</v>
      </c>
      <c r="V62" s="5"/>
      <c r="W62" s="5"/>
      <c r="X62" s="5"/>
      <c r="Y62" s="5"/>
      <c r="AB62" s="3">
        <v>-48</v>
      </c>
      <c r="AC62" s="3">
        <v>-11</v>
      </c>
      <c r="AD62" s="3">
        <v>-4</v>
      </c>
    </row>
    <row r="63" spans="2:31" s="3" customFormat="1" x14ac:dyDescent="0.15">
      <c r="B63" s="3" t="s">
        <v>57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-81</v>
      </c>
      <c r="V63" s="5"/>
      <c r="W63" s="5"/>
      <c r="X63" s="5"/>
      <c r="Y63" s="5"/>
      <c r="AB63" s="3">
        <v>14</v>
      </c>
      <c r="AC63" s="3">
        <v>40</v>
      </c>
      <c r="AD63" s="3">
        <v>7</v>
      </c>
    </row>
    <row r="64" spans="2:31" s="3" customFormat="1" x14ac:dyDescent="0.15">
      <c r="B64" s="3" t="s">
        <v>43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220</v>
      </c>
      <c r="V64" s="5"/>
      <c r="W64" s="5"/>
      <c r="X64" s="5"/>
      <c r="Y64" s="5"/>
      <c r="AB64" s="3">
        <v>497</v>
      </c>
      <c r="AC64" s="3">
        <v>258</v>
      </c>
      <c r="AD64" s="3">
        <v>1053</v>
      </c>
    </row>
    <row r="65" spans="2:31" s="3" customFormat="1" x14ac:dyDescent="0.15">
      <c r="B65" s="3" t="s">
        <v>58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-479</v>
      </c>
      <c r="V65" s="5"/>
      <c r="W65" s="5"/>
      <c r="X65" s="5"/>
      <c r="Y65" s="5"/>
      <c r="AB65" s="3">
        <f>-188-551+23+172+4</f>
        <v>-540</v>
      </c>
      <c r="AC65" s="3">
        <f>106-288+96+86-72</f>
        <v>-72</v>
      </c>
      <c r="AD65" s="3">
        <f>-430-475-20+162+2</f>
        <v>-761</v>
      </c>
    </row>
    <row r="66" spans="2:31" s="3" customFormat="1" x14ac:dyDescent="0.15">
      <c r="B66" s="3" t="s">
        <v>59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f t="shared" ref="U66" si="11">SUM(U57:U65)</f>
        <v>2021</v>
      </c>
      <c r="V66" s="5"/>
      <c r="W66" s="5"/>
      <c r="X66" s="5"/>
      <c r="Y66" s="5"/>
      <c r="AB66" s="3">
        <f>SUM(AB57:AB65)</f>
        <v>4422</v>
      </c>
      <c r="AC66" s="3">
        <f t="shared" ref="AC66:AE66" si="12">SUM(AC57:AC65)</f>
        <v>5727</v>
      </c>
      <c r="AD66" s="3">
        <f t="shared" si="12"/>
        <v>7230</v>
      </c>
      <c r="AE66" s="3">
        <f t="shared" si="12"/>
        <v>0</v>
      </c>
    </row>
    <row r="67" spans="2:31" s="3" customFormat="1" x14ac:dyDescent="0.1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2:31" s="3" customFormat="1" x14ac:dyDescent="0.15">
      <c r="B68" s="3" t="s">
        <v>60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f>86-76</f>
        <v>10</v>
      </c>
      <c r="V68" s="5"/>
      <c r="W68" s="5"/>
      <c r="X68" s="5"/>
      <c r="Y68" s="5"/>
      <c r="AB68" s="3">
        <f>-700+700+86-49+3</f>
        <v>40</v>
      </c>
      <c r="AC68" s="3">
        <f>-1071+915+167+9-15</f>
        <v>5</v>
      </c>
      <c r="AD68" s="3">
        <f>-1533+877+191-42</f>
        <v>-507</v>
      </c>
    </row>
    <row r="69" spans="2:31" s="3" customFormat="1" x14ac:dyDescent="0.15">
      <c r="B69" s="3" t="s">
        <v>61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0</v>
      </c>
      <c r="V69" s="5"/>
      <c r="W69" s="5"/>
      <c r="X69" s="5"/>
      <c r="Y69" s="5"/>
      <c r="AB69" s="3">
        <v>-101</v>
      </c>
      <c r="AC69" s="3">
        <v>0</v>
      </c>
      <c r="AD69" s="3">
        <v>-2682</v>
      </c>
    </row>
    <row r="70" spans="2:31" s="3" customFormat="1" x14ac:dyDescent="0.15">
      <c r="B70" s="3" t="s">
        <v>62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-57</v>
      </c>
      <c r="V70" s="5"/>
      <c r="W70" s="5"/>
      <c r="X70" s="5"/>
      <c r="Y70" s="5"/>
      <c r="AB70" s="3">
        <v>-395</v>
      </c>
      <c r="AC70" s="3">
        <v>-419</v>
      </c>
      <c r="AD70" s="3">
        <v>-348</v>
      </c>
    </row>
    <row r="71" spans="2:31" s="3" customFormat="1" x14ac:dyDescent="0.15">
      <c r="B71" s="3" t="s">
        <v>63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f>SUM(U68:U70)</f>
        <v>-47</v>
      </c>
      <c r="V71" s="5"/>
      <c r="W71" s="5"/>
      <c r="X71" s="5"/>
      <c r="Y71" s="5"/>
      <c r="AB71" s="3">
        <f>SUM(AB68:AB70)</f>
        <v>-456</v>
      </c>
      <c r="AC71" s="3">
        <f>SUM(AC68:AC70)</f>
        <v>-414</v>
      </c>
      <c r="AD71" s="3">
        <f t="shared" ref="AD71" si="13">SUM(AD68:AD70)</f>
        <v>-3537</v>
      </c>
    </row>
    <row r="72" spans="2:31" s="3" customFormat="1" x14ac:dyDescent="0.1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2:31" s="3" customFormat="1" x14ac:dyDescent="0.15">
      <c r="B73" s="3" t="s">
        <v>64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-2500</v>
      </c>
      <c r="V73" s="5"/>
      <c r="W73" s="5"/>
      <c r="X73" s="5"/>
      <c r="Y73" s="5"/>
      <c r="AB73" s="3">
        <f>-2750+233</f>
        <v>-2517</v>
      </c>
      <c r="AC73" s="3">
        <f>-3050+270</f>
        <v>-2780</v>
      </c>
      <c r="AD73" s="3">
        <f>-3950+291</f>
        <v>-3659</v>
      </c>
    </row>
    <row r="74" spans="2:31" s="3" customFormat="1" x14ac:dyDescent="0.15">
      <c r="B74" s="3" t="s">
        <v>30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96</v>
      </c>
      <c r="V74" s="5"/>
      <c r="W74" s="5"/>
      <c r="X74" s="5"/>
      <c r="Y74" s="5"/>
      <c r="AB74" s="3">
        <v>-440</v>
      </c>
      <c r="AC74" s="3">
        <v>-681</v>
      </c>
      <c r="AD74" s="3">
        <v>-719</v>
      </c>
    </row>
    <row r="75" spans="2:31" s="3" customFormat="1" x14ac:dyDescent="0.15">
      <c r="B75" s="3" t="s">
        <v>57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-49</v>
      </c>
      <c r="V75" s="5"/>
      <c r="W75" s="5"/>
      <c r="X75" s="5"/>
      <c r="Y75" s="5"/>
      <c r="AB75" s="3">
        <v>11</v>
      </c>
      <c r="AC75" s="3">
        <f>-21+3144-3150</f>
        <v>-27</v>
      </c>
      <c r="AD75" s="3">
        <v>77</v>
      </c>
    </row>
    <row r="76" spans="2:31" s="3" customFormat="1" x14ac:dyDescent="0.15">
      <c r="B76" s="3" t="s">
        <v>65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f>SUM(U73:U75)</f>
        <v>-2453</v>
      </c>
      <c r="V76" s="5"/>
      <c r="W76" s="5"/>
      <c r="X76" s="5"/>
      <c r="Y76" s="5"/>
      <c r="AB76" s="3">
        <f t="shared" ref="AB76:AC76" si="14">SUM(AB73:AB75)</f>
        <v>-2946</v>
      </c>
      <c r="AC76" s="3">
        <f t="shared" si="14"/>
        <v>-3488</v>
      </c>
      <c r="AD76" s="3">
        <f>SUM(AD73:AD75)</f>
        <v>-4301</v>
      </c>
    </row>
    <row r="77" spans="2:31" s="3" customFormat="1" x14ac:dyDescent="0.15">
      <c r="B77" s="3" t="s">
        <v>66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12</v>
      </c>
      <c r="V77" s="5"/>
      <c r="W77" s="5"/>
      <c r="X77" s="5"/>
      <c r="Y77" s="5"/>
      <c r="AB77" s="3">
        <v>-13</v>
      </c>
      <c r="AC77" s="3">
        <v>3</v>
      </c>
      <c r="AD77" s="3">
        <v>-26</v>
      </c>
    </row>
    <row r="78" spans="2:31" x14ac:dyDescent="0.15">
      <c r="B78" s="3" t="s">
        <v>67</v>
      </c>
      <c r="G78" s="5"/>
      <c r="H78" s="5"/>
      <c r="I78" s="5"/>
      <c r="J78" s="5"/>
      <c r="K78" s="5"/>
      <c r="L78" s="5"/>
      <c r="M78" s="5"/>
      <c r="N78" s="5"/>
      <c r="U78" s="5">
        <f>+U77+U76+U71+U66</f>
        <v>-467</v>
      </c>
      <c r="AB78" s="5">
        <f t="shared" ref="AB78:AD78" si="15">AB77+AB76+AB71+AB66</f>
        <v>1007</v>
      </c>
      <c r="AC78" s="5">
        <f t="shared" si="15"/>
        <v>1828</v>
      </c>
      <c r="AD78" s="5">
        <f t="shared" si="15"/>
        <v>-634</v>
      </c>
    </row>
    <row r="80" spans="2:31" x14ac:dyDescent="0.15">
      <c r="B80" s="3" t="s">
        <v>85</v>
      </c>
      <c r="J80" s="5"/>
      <c r="K80" s="5"/>
      <c r="L80" s="5"/>
      <c r="M80" s="5"/>
      <c r="N80" s="5"/>
      <c r="AB80" s="3">
        <f>+AB66</f>
        <v>4422</v>
      </c>
      <c r="AC80" s="3">
        <f>+AC66</f>
        <v>5727</v>
      </c>
      <c r="AD80" s="3">
        <f>+AD66</f>
        <v>7230</v>
      </c>
    </row>
    <row r="81" spans="2:30" x14ac:dyDescent="0.15">
      <c r="B81" s="3" t="s">
        <v>86</v>
      </c>
      <c r="AC81" s="13">
        <f>+AC80/AB80-1</f>
        <v>0.2951153324287652</v>
      </c>
      <c r="AD81" s="13">
        <f>+AD80/AC80-1</f>
        <v>0.26244106862231531</v>
      </c>
    </row>
    <row r="82" spans="2:30" x14ac:dyDescent="0.15">
      <c r="B82" s="3" t="s">
        <v>87</v>
      </c>
      <c r="J82" s="5"/>
      <c r="K82" s="5"/>
      <c r="L82" s="5"/>
      <c r="M82" s="5"/>
      <c r="N82" s="5"/>
      <c r="AB82" s="3">
        <f t="shared" ref="AB82:AC82" si="16">+AB70+AB66</f>
        <v>4027</v>
      </c>
      <c r="AC82" s="3">
        <f t="shared" si="16"/>
        <v>5308</v>
      </c>
      <c r="AD82" s="3">
        <f>+AD70+AD66</f>
        <v>6882</v>
      </c>
    </row>
    <row r="83" spans="2:30" x14ac:dyDescent="0.15">
      <c r="AB83" s="13"/>
      <c r="AC83" s="13">
        <f t="shared" ref="AC83" si="17">+AC82/AB82-1</f>
        <v>0.31810280605910113</v>
      </c>
      <c r="AD83" s="13">
        <f>+AD82/AC82-1</f>
        <v>0.29653353428786744</v>
      </c>
    </row>
  </sheetData>
  <phoneticPr fontId="4" type="noConversion"/>
  <hyperlinks>
    <hyperlink ref="A1" location="Main!A1" display="Main" xr:uid="{4CAEE359-505D-4C54-B805-898B3A68FAE2}"/>
  </hyperlink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Zhuping Liu</cp:lastModifiedBy>
  <dcterms:created xsi:type="dcterms:W3CDTF">2022-06-12T04:44:53Z</dcterms:created>
  <dcterms:modified xsi:type="dcterms:W3CDTF">2025-11-09T16:20:53Z</dcterms:modified>
</cp:coreProperties>
</file>