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liu/models/"/>
    </mc:Choice>
  </mc:AlternateContent>
  <xr:revisionPtr revIDLastSave="0" documentId="13_ncr:1_{BE10D8CA-1D91-1D49-8558-A9E6BCB354A1}" xr6:coauthVersionLast="47" xr6:coauthVersionMax="47" xr10:uidLastSave="{00000000-0000-0000-0000-000000000000}"/>
  <bookViews>
    <workbookView xWindow="0" yWindow="500" windowWidth="23060" windowHeight="15620" activeTab="1" xr2:uid="{D7A11B22-4522-467B-9402-0B9402DE3F9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0" i="2" l="1"/>
  <c r="AG30" i="2"/>
  <c r="AH30" i="2"/>
  <c r="AI30" i="2"/>
  <c r="AJ30" i="2"/>
  <c r="AK30" i="2"/>
  <c r="AN26" i="2"/>
  <c r="AB17" i="2"/>
  <c r="AC17" i="2" s="1"/>
  <c r="AD17" i="2" s="1"/>
  <c r="AE17" i="2" s="1"/>
  <c r="AF17" i="2" s="1"/>
  <c r="AG17" i="2" s="1"/>
  <c r="AH17" i="2" s="1"/>
  <c r="AI17" i="2" s="1"/>
  <c r="AJ17" i="2" s="1"/>
  <c r="AK17" i="2" s="1"/>
  <c r="AA17" i="2"/>
  <c r="T16" i="2"/>
  <c r="T14" i="2"/>
  <c r="T8" i="2"/>
  <c r="T24" i="2" s="1"/>
  <c r="P16" i="2"/>
  <c r="P14" i="2"/>
  <c r="P10" i="2"/>
  <c r="R28" i="2"/>
  <c r="Q28" i="2"/>
  <c r="R27" i="2"/>
  <c r="Q27" i="2"/>
  <c r="R26" i="2"/>
  <c r="Q26" i="2"/>
  <c r="R25" i="2"/>
  <c r="Q25" i="2"/>
  <c r="S28" i="2"/>
  <c r="S27" i="2"/>
  <c r="S26" i="2"/>
  <c r="S25" i="2"/>
  <c r="Z28" i="2"/>
  <c r="Y28" i="2"/>
  <c r="Z27" i="2"/>
  <c r="Y27" i="2"/>
  <c r="Z26" i="2"/>
  <c r="Y26" i="2"/>
  <c r="Z25" i="2"/>
  <c r="Y25" i="2"/>
  <c r="X16" i="2"/>
  <c r="X14" i="2"/>
  <c r="X10" i="2"/>
  <c r="X29" i="2" s="1"/>
  <c r="Y16" i="2"/>
  <c r="Y10" i="2"/>
  <c r="Y14" i="2"/>
  <c r="Z16" i="2"/>
  <c r="Z14" i="2"/>
  <c r="Z10" i="2"/>
  <c r="R24" i="2"/>
  <c r="S24" i="2"/>
  <c r="Q24" i="2"/>
  <c r="M16" i="2"/>
  <c r="M14" i="2"/>
  <c r="M10" i="2"/>
  <c r="M29" i="2" s="1"/>
  <c r="Q16" i="2"/>
  <c r="AA16" i="2" s="1"/>
  <c r="AB16" i="2" s="1"/>
  <c r="AC16" i="2" s="1"/>
  <c r="AD16" i="2" s="1"/>
  <c r="AE16" i="2" s="1"/>
  <c r="AF16" i="2" s="1"/>
  <c r="AG16" i="2" s="1"/>
  <c r="AH16" i="2" s="1"/>
  <c r="AI16" i="2" s="1"/>
  <c r="AJ16" i="2" s="1"/>
  <c r="AK16" i="2" s="1"/>
  <c r="Q14" i="2"/>
  <c r="Q31" i="2" s="1"/>
  <c r="Q10" i="2"/>
  <c r="Q29" i="2" s="1"/>
  <c r="N16" i="2"/>
  <c r="N14" i="2"/>
  <c r="N10" i="2"/>
  <c r="N29" i="2" s="1"/>
  <c r="R16" i="2"/>
  <c r="R14" i="2"/>
  <c r="R31" i="2" s="1"/>
  <c r="R10" i="2"/>
  <c r="R29" i="2" s="1"/>
  <c r="O16" i="2"/>
  <c r="O14" i="2"/>
  <c r="O10" i="2"/>
  <c r="O29" i="2" s="1"/>
  <c r="S16" i="2"/>
  <c r="S14" i="2"/>
  <c r="S31" i="2" s="1"/>
  <c r="S10" i="2"/>
  <c r="K7" i="1"/>
  <c r="Y24" i="2"/>
  <c r="K4" i="1"/>
  <c r="Z24" i="2"/>
  <c r="AA90" i="2"/>
  <c r="Y90" i="2"/>
  <c r="W3" i="2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A14" i="2" l="1"/>
  <c r="AA8" i="2"/>
  <c r="AB8" i="2" s="1"/>
  <c r="S15" i="2"/>
  <c r="S18" i="2"/>
  <c r="T10" i="2"/>
  <c r="T9" i="2" s="1"/>
  <c r="P15" i="2"/>
  <c r="P18" i="2" s="1"/>
  <c r="S30" i="2"/>
  <c r="S29" i="2"/>
  <c r="X15" i="2"/>
  <c r="Y15" i="2"/>
  <c r="Y18" i="2" s="1"/>
  <c r="Y20" i="2" s="1"/>
  <c r="Y21" i="2" s="1"/>
  <c r="Z15" i="2"/>
  <c r="Z18" i="2" s="1"/>
  <c r="Z20" i="2" s="1"/>
  <c r="Z21" i="2" s="1"/>
  <c r="AA24" i="2"/>
  <c r="M15" i="2"/>
  <c r="Q15" i="2"/>
  <c r="N15" i="2"/>
  <c r="R15" i="2"/>
  <c r="O15" i="2"/>
  <c r="AA29" i="2"/>
  <c r="AB24" i="2"/>
  <c r="Z29" i="2"/>
  <c r="Y29" i="2"/>
  <c r="Z90" i="2"/>
  <c r="Q92" i="2"/>
  <c r="X18" i="2" l="1"/>
  <c r="X20" i="2" s="1"/>
  <c r="X21" i="2" s="1"/>
  <c r="X30" i="2"/>
  <c r="AC8" i="2"/>
  <c r="AB15" i="2"/>
  <c r="AB18" i="2" s="1"/>
  <c r="P20" i="2"/>
  <c r="P21" i="2" s="1"/>
  <c r="P33" i="2"/>
  <c r="S20" i="2"/>
  <c r="S21" i="2" s="1"/>
  <c r="S33" i="2"/>
  <c r="T29" i="2"/>
  <c r="T15" i="2"/>
  <c r="T18" i="2" s="1"/>
  <c r="Z30" i="2"/>
  <c r="M18" i="2"/>
  <c r="M30" i="2"/>
  <c r="Q18" i="2"/>
  <c r="Q30" i="2"/>
  <c r="O18" i="2"/>
  <c r="O30" i="2"/>
  <c r="R18" i="2"/>
  <c r="R30" i="2"/>
  <c r="N18" i="2"/>
  <c r="N30" i="2"/>
  <c r="Y30" i="2"/>
  <c r="AB29" i="2"/>
  <c r="H92" i="2"/>
  <c r="N20" i="2" l="1"/>
  <c r="N21" i="2" s="1"/>
  <c r="N33" i="2"/>
  <c r="M20" i="2"/>
  <c r="M21" i="2" s="1"/>
  <c r="M33" i="2"/>
  <c r="AB19" i="2"/>
  <c r="AB20" i="2" s="1"/>
  <c r="AB30" i="2"/>
  <c r="O20" i="2"/>
  <c r="S32" i="2" s="1"/>
  <c r="O33" i="2"/>
  <c r="AC15" i="2"/>
  <c r="AC18" i="2" s="1"/>
  <c r="AD8" i="2"/>
  <c r="AC24" i="2"/>
  <c r="T19" i="2"/>
  <c r="AA19" i="2" s="1"/>
  <c r="R20" i="2"/>
  <c r="R33" i="2"/>
  <c r="Q20" i="2"/>
  <c r="Q33" i="2"/>
  <c r="AA15" i="2"/>
  <c r="AA18" i="2" s="1"/>
  <c r="R21" i="2"/>
  <c r="R32" i="2"/>
  <c r="Q21" i="2"/>
  <c r="Q32" i="2"/>
  <c r="AA30" i="2"/>
  <c r="AC29" i="2"/>
  <c r="N91" i="2"/>
  <c r="H96" i="2"/>
  <c r="M92" i="2"/>
  <c r="P92" i="2"/>
  <c r="J91" i="2"/>
  <c r="L91" i="2"/>
  <c r="K91" i="2"/>
  <c r="M91" i="2"/>
  <c r="J92" i="2"/>
  <c r="I92" i="2"/>
  <c r="O21" i="2" l="1"/>
  <c r="T20" i="2"/>
  <c r="T21" i="2" s="1"/>
  <c r="AC19" i="2"/>
  <c r="AC20" i="2" s="1"/>
  <c r="AD29" i="2"/>
  <c r="AE8" i="2"/>
  <c r="AD15" i="2"/>
  <c r="AD24" i="2"/>
  <c r="AC30" i="2"/>
  <c r="Y92" i="2"/>
  <c r="Z92" i="2"/>
  <c r="AA92" i="2"/>
  <c r="O91" i="2"/>
  <c r="P91" i="2"/>
  <c r="L92" i="2"/>
  <c r="M93" i="2"/>
  <c r="M96" i="2"/>
  <c r="Q93" i="2"/>
  <c r="I96" i="2"/>
  <c r="G92" i="2"/>
  <c r="J96" i="2"/>
  <c r="P96" i="2"/>
  <c r="N92" i="2"/>
  <c r="O92" i="2"/>
  <c r="AD18" i="2" l="1"/>
  <c r="AD30" i="2"/>
  <c r="AF8" i="2"/>
  <c r="AE15" i="2"/>
  <c r="AE24" i="2"/>
  <c r="AA20" i="2"/>
  <c r="O94" i="2"/>
  <c r="P94" i="2"/>
  <c r="L93" i="2"/>
  <c r="K92" i="2"/>
  <c r="K93" i="2" s="1"/>
  <c r="L96" i="2"/>
  <c r="P93" i="2"/>
  <c r="O96" i="2"/>
  <c r="J94" i="2"/>
  <c r="G96" i="2"/>
  <c r="N93" i="2"/>
  <c r="N96" i="2"/>
  <c r="Q94" i="2"/>
  <c r="N94" i="2"/>
  <c r="K96" i="2"/>
  <c r="AE18" i="2" l="1"/>
  <c r="AE30" i="2"/>
  <c r="AF15" i="2"/>
  <c r="AF18" i="2" s="1"/>
  <c r="AG8" i="2"/>
  <c r="AF24" i="2"/>
  <c r="AD19" i="2"/>
  <c r="AD20" i="2" s="1"/>
  <c r="O93" i="2"/>
  <c r="K94" i="2"/>
  <c r="M94" i="2"/>
  <c r="L94" i="2"/>
  <c r="AH8" i="2" l="1"/>
  <c r="AG15" i="2"/>
  <c r="AG18" i="2" s="1"/>
  <c r="AG24" i="2"/>
  <c r="AF19" i="2"/>
  <c r="AF20" i="2" s="1"/>
  <c r="AE19" i="2"/>
  <c r="AE20" i="2" s="1"/>
  <c r="AG19" i="2" l="1"/>
  <c r="AG20" i="2"/>
  <c r="AH15" i="2"/>
  <c r="AH18" i="2" s="1"/>
  <c r="AI8" i="2"/>
  <c r="AH24" i="2"/>
  <c r="AH19" i="2" l="1"/>
  <c r="AH20" i="2" s="1"/>
  <c r="AI15" i="2"/>
  <c r="AI18" i="2" s="1"/>
  <c r="AJ8" i="2"/>
  <c r="AI24" i="2"/>
  <c r="AI19" i="2" l="1"/>
  <c r="AI20" i="2"/>
  <c r="AJ15" i="2"/>
  <c r="AJ18" i="2" s="1"/>
  <c r="AK8" i="2"/>
  <c r="AJ24" i="2"/>
  <c r="AK24" i="2" l="1"/>
  <c r="AK15" i="2"/>
  <c r="AK18" i="2" s="1"/>
  <c r="AJ19" i="2"/>
  <c r="AJ20" i="2" s="1"/>
  <c r="AK20" i="2" l="1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AO26" i="2" s="1"/>
  <c r="AK19" i="2"/>
</calcChain>
</file>

<file path=xl/sharedStrings.xml><?xml version="1.0" encoding="utf-8"?>
<sst xmlns="http://schemas.openxmlformats.org/spreadsheetml/2006/main" count="114" uniqueCount="97">
  <si>
    <t>Price</t>
  </si>
  <si>
    <t>Shares</t>
  </si>
  <si>
    <t>MC</t>
  </si>
  <si>
    <t>Cash</t>
  </si>
  <si>
    <t>Debt</t>
  </si>
  <si>
    <t>EV</t>
  </si>
  <si>
    <t>Main</t>
  </si>
  <si>
    <t>Revenue</t>
  </si>
  <si>
    <t>Revenue y/y</t>
  </si>
  <si>
    <t>Gross Margin</t>
  </si>
  <si>
    <t>EPS</t>
  </si>
  <si>
    <t>Net Income</t>
  </si>
  <si>
    <t>Taxes</t>
  </si>
  <si>
    <t>Pretax Income</t>
  </si>
  <si>
    <t>Settlement</t>
  </si>
  <si>
    <t>AR</t>
  </si>
  <si>
    <t>Collateral</t>
  </si>
  <si>
    <t>Incentives</t>
  </si>
  <si>
    <t>Prepaids</t>
  </si>
  <si>
    <t>PP&amp;E</t>
  </si>
  <si>
    <t>Assets</t>
  </si>
  <si>
    <t>Other</t>
  </si>
  <si>
    <t>Goodwill</t>
  </si>
  <si>
    <t>AP</t>
  </si>
  <si>
    <t>Settlement+Legal</t>
  </si>
  <si>
    <t>Compensation</t>
  </si>
  <si>
    <t>AL</t>
  </si>
  <si>
    <t>L+SE</t>
  </si>
  <si>
    <t>SE</t>
  </si>
  <si>
    <t>OL</t>
  </si>
  <si>
    <t>Net Cash</t>
  </si>
  <si>
    <t>FQ125</t>
  </si>
  <si>
    <t>Net Income y/y</t>
  </si>
  <si>
    <t>Model NI</t>
  </si>
  <si>
    <t>WC</t>
  </si>
  <si>
    <t>DT</t>
  </si>
  <si>
    <t>D&amp;A</t>
  </si>
  <si>
    <t>SBC</t>
  </si>
  <si>
    <t>CFFI</t>
  </si>
  <si>
    <t>CapEx</t>
  </si>
  <si>
    <t>Investments</t>
  </si>
  <si>
    <t>Acquisitions</t>
  </si>
  <si>
    <t>CIC</t>
  </si>
  <si>
    <t>FX</t>
  </si>
  <si>
    <t>CFFF</t>
  </si>
  <si>
    <t>Buyback</t>
  </si>
  <si>
    <t>Dividend</t>
  </si>
  <si>
    <t>ESOP</t>
  </si>
  <si>
    <t>FQ424</t>
  </si>
  <si>
    <t>FQ324</t>
  </si>
  <si>
    <t>FQ224</t>
  </si>
  <si>
    <t>FQ124</t>
  </si>
  <si>
    <t>FQ423</t>
  </si>
  <si>
    <t>FCF</t>
  </si>
  <si>
    <t>FQ323</t>
  </si>
  <si>
    <t>Model FCF</t>
  </si>
  <si>
    <t>fcf y/y</t>
  </si>
  <si>
    <t>COGS</t>
  </si>
  <si>
    <t>Operating Income</t>
  </si>
  <si>
    <t>Supreme NI</t>
  </si>
  <si>
    <t>Continued NI</t>
  </si>
  <si>
    <t>ROU Reduction</t>
  </si>
  <si>
    <t>Doubtful AR</t>
  </si>
  <si>
    <t>Pension</t>
  </si>
  <si>
    <t>Reported NI (total)</t>
  </si>
  <si>
    <t>CFFO (w/o Supreme)</t>
  </si>
  <si>
    <t>Model CFFO (w/o Supreme)</t>
  </si>
  <si>
    <t>CFFO (w/ Supreme)</t>
  </si>
  <si>
    <t>Discount</t>
  </si>
  <si>
    <t>NPV</t>
  </si>
  <si>
    <t>Terminal</t>
  </si>
  <si>
    <t>EBIT %</t>
  </si>
  <si>
    <t>FQ223</t>
  </si>
  <si>
    <t>FQ123</t>
  </si>
  <si>
    <t>FQ422</t>
  </si>
  <si>
    <t>FQ322</t>
  </si>
  <si>
    <t>FQ222</t>
  </si>
  <si>
    <t>FQ122</t>
  </si>
  <si>
    <t>OpEx</t>
  </si>
  <si>
    <t>FQ225</t>
  </si>
  <si>
    <t>FQ325</t>
  </si>
  <si>
    <t>Q325</t>
  </si>
  <si>
    <t>SG&amp;A</t>
  </si>
  <si>
    <t>R&amp;D</t>
  </si>
  <si>
    <t>Other Operating</t>
  </si>
  <si>
    <t>Interest + Other</t>
  </si>
  <si>
    <t>Investing Income</t>
  </si>
  <si>
    <t xml:space="preserve">Atmus Divestiture </t>
  </si>
  <si>
    <t>TODO: look at CEO</t>
  </si>
  <si>
    <t>FQ425</t>
  </si>
  <si>
    <t>Power Systems</t>
  </si>
  <si>
    <t>Distribution</t>
  </si>
  <si>
    <t>Components</t>
  </si>
  <si>
    <t>Engine</t>
  </si>
  <si>
    <t>Hit components segment -&gt; why 2024 dropped</t>
  </si>
  <si>
    <t>OPEX y/y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</si>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</sst>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;@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30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4" fontId="0" fillId="0" borderId="0" xfId="0" applyNumberFormat="1" applyAlignment="1">
      <alignment horizontal="right"/>
    </xf>
    <xf numFmtId="164" fontId="2" fillId="0" borderId="0" xfId="1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9" fontId="0" fillId="0" borderId="0" xfId="0" applyNumberFormat="1"/>
    <xf numFmtId="2" fontId="0" fillId="0" borderId="0" xfId="0" applyNumberFormat="1"/>
    <xf numFmtId="10" fontId="0" fillId="0" borderId="0" xfId="0" applyNumberFormat="1"/>
    <xf numFmtId="8" fontId="0" fillId="0" borderId="0" xfId="0" applyNumberFormat="1"/>
    <xf numFmtId="3" fontId="0" fillId="0" borderId="0" xfId="0" applyNumberFormat="1" applyAlignment="1">
      <alignment horizontal="left"/>
    </xf>
    <xf numFmtId="44" fontId="0" fillId="0" borderId="0" xfId="2" applyFont="1"/>
    <xf numFmtId="10" fontId="0" fillId="0" borderId="0" xfId="0" applyNumberFormat="1" applyAlignment="1">
      <alignment horizontal="right"/>
    </xf>
    <xf numFmtId="0" fontId="0" fillId="0" borderId="0" xfId="0" applyAlignment="1">
      <alignment horizontal="left" indent="1"/>
    </xf>
    <xf numFmtId="9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3" fontId="0" fillId="0" borderId="0" xfId="0" applyNumberFormat="1" applyFont="1"/>
    <xf numFmtId="0" fontId="0" fillId="2" borderId="0" xfId="0" applyFill="1"/>
    <xf numFmtId="164" fontId="0" fillId="2" borderId="0" xfId="0" applyNumberFormat="1" applyFill="1"/>
    <xf numFmtId="3" fontId="1" fillId="2" borderId="0" xfId="0" applyNumberFormat="1" applyFont="1" applyFill="1"/>
    <xf numFmtId="3" fontId="0" fillId="2" borderId="0" xfId="0" applyNumberFormat="1" applyFill="1"/>
    <xf numFmtId="2" fontId="0" fillId="2" borderId="0" xfId="0" applyNumberFormat="1" applyFill="1"/>
    <xf numFmtId="9" fontId="0" fillId="2" borderId="0" xfId="0" applyNumberFormat="1" applyFill="1"/>
  </cellXfs>
  <cellStyles count="3">
    <cellStyle name="Currency" xfId="2" builtinId="4"/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5D0DCE0-38CC-47E5-914E-5E91E8146B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11893</xdr:colOff>
      <xdr:row>0</xdr:row>
      <xdr:rowOff>18143</xdr:rowOff>
    </xdr:from>
    <xdr:to>
      <xdr:col>19</xdr:col>
      <xdr:colOff>11893</xdr:colOff>
      <xdr:row>96</xdr:row>
      <xdr:rowOff>104397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EC89BE6-AA1C-A6E7-58EF-6408B3927913}"/>
            </a:ext>
          </a:extLst>
        </xdr:cNvPr>
        <xdr:cNvCxnSpPr/>
      </xdr:nvCxnSpPr>
      <xdr:spPr>
        <a:xfrm>
          <a:off x="12503250" y="18143"/>
          <a:ext cx="0" cy="1512668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9675</xdr:colOff>
      <xdr:row>0</xdr:row>
      <xdr:rowOff>0</xdr:rowOff>
    </xdr:from>
    <xdr:to>
      <xdr:col>27</xdr:col>
      <xdr:colOff>9675</xdr:colOff>
      <xdr:row>96</xdr:row>
      <xdr:rowOff>86254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C8C032F-046E-D744-ADF2-B89DDD2B97A8}"/>
            </a:ext>
          </a:extLst>
        </xdr:cNvPr>
        <xdr:cNvCxnSpPr/>
      </xdr:nvCxnSpPr>
      <xdr:spPr>
        <a:xfrm>
          <a:off x="19347542" y="0"/>
          <a:ext cx="0" cy="1638458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423B-511B-43A5-A095-4200DABC367B}">
  <dimension ref="B2:N7"/>
  <sheetViews>
    <sheetView zoomScale="150" zoomScaleNormal="150" workbookViewId="0">
      <selection activeCell="F5" sqref="F5"/>
    </sheetView>
  </sheetViews>
  <sheetFormatPr baseColWidth="10" defaultColWidth="8.83203125" defaultRowHeight="13" x14ac:dyDescent="0.15"/>
  <sheetData>
    <row r="2" spans="2:14" x14ac:dyDescent="0.15">
      <c r="B2" t="s">
        <v>87</v>
      </c>
      <c r="J2" t="s">
        <v>0</v>
      </c>
      <c r="K2" s="1">
        <v>469.67</v>
      </c>
    </row>
    <row r="3" spans="2:14" x14ac:dyDescent="0.15">
      <c r="B3" t="s">
        <v>94</v>
      </c>
      <c r="J3" t="s">
        <v>1</v>
      </c>
      <c r="K3" s="2">
        <v>138</v>
      </c>
      <c r="L3" s="3" t="s">
        <v>81</v>
      </c>
    </row>
    <row r="4" spans="2:14" x14ac:dyDescent="0.15">
      <c r="B4" t="s">
        <v>88</v>
      </c>
      <c r="J4" t="s">
        <v>2</v>
      </c>
      <c r="K4" s="2">
        <f>+K2*K3</f>
        <v>64814.46</v>
      </c>
    </row>
    <row r="5" spans="2:14" x14ac:dyDescent="0.15">
      <c r="J5" t="s">
        <v>3</v>
      </c>
      <c r="K5" s="2">
        <v>2566</v>
      </c>
      <c r="L5" s="3" t="s">
        <v>81</v>
      </c>
    </row>
    <row r="6" spans="2:14" x14ac:dyDescent="0.15">
      <c r="J6" t="s">
        <v>4</v>
      </c>
      <c r="K6" s="2">
        <v>6824</v>
      </c>
      <c r="L6" s="3" t="s">
        <v>81</v>
      </c>
      <c r="N6" s="2"/>
    </row>
    <row r="7" spans="2:14" x14ac:dyDescent="0.15">
      <c r="J7" t="s">
        <v>5</v>
      </c>
      <c r="K7" s="2">
        <f>+K4-K5+K6</f>
        <v>69072.459999999992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F777-564E-431B-B3DF-DE9720FAF314}">
  <dimension ref="A1:BX99"/>
  <sheetViews>
    <sheetView tabSelected="1" zoomScale="150" zoomScaleNormal="150" workbookViewId="0">
      <pane xSplit="2" ySplit="3" topLeftCell="AD10" activePane="bottomRight" state="frozen"/>
      <selection pane="topRight" activeCell="C1" sqref="C1"/>
      <selection pane="bottomLeft" activeCell="A3" sqref="A3"/>
      <selection pane="bottomRight" activeCell="AK28" sqref="AK28"/>
    </sheetView>
  </sheetViews>
  <sheetFormatPr baseColWidth="10" defaultColWidth="8.83203125" defaultRowHeight="13" x14ac:dyDescent="0.15"/>
  <cols>
    <col min="1" max="1" width="5" bestFit="1" customWidth="1"/>
    <col min="2" max="2" width="21.83203125" bestFit="1" customWidth="1"/>
    <col min="3" max="9" width="9.1640625" style="3"/>
    <col min="10" max="14" width="9.1640625" style="3" customWidth="1"/>
    <col min="15" max="16" width="9.1640625" customWidth="1"/>
    <col min="30" max="31" width="8.83203125" style="24"/>
    <col min="35" max="35" width="9.6640625" bestFit="1" customWidth="1"/>
    <col min="36" max="36" width="10.1640625" bestFit="1" customWidth="1"/>
    <col min="40" max="40" width="10.6640625" bestFit="1" customWidth="1"/>
    <col min="41" max="41" width="11.1640625" bestFit="1" customWidth="1"/>
  </cols>
  <sheetData>
    <row r="1" spans="1:37" x14ac:dyDescent="0.15">
      <c r="A1" s="8" t="s">
        <v>6</v>
      </c>
    </row>
    <row r="2" spans="1:37" s="11" customFormat="1" x14ac:dyDescent="0.15">
      <c r="A2" s="10"/>
      <c r="C2" s="12"/>
      <c r="D2" s="12"/>
      <c r="E2" s="12"/>
      <c r="F2" s="12"/>
      <c r="G2" s="12">
        <v>44926</v>
      </c>
      <c r="H2" s="12">
        <v>45016</v>
      </c>
      <c r="I2" s="12">
        <v>45107</v>
      </c>
      <c r="J2" s="12">
        <v>45199</v>
      </c>
      <c r="K2" s="12">
        <v>45291</v>
      </c>
      <c r="L2" s="12">
        <v>45382</v>
      </c>
      <c r="M2" s="12">
        <v>45473</v>
      </c>
      <c r="N2" s="12">
        <v>45565</v>
      </c>
      <c r="O2" s="11">
        <v>45657</v>
      </c>
      <c r="P2" s="11">
        <v>45747</v>
      </c>
      <c r="Q2" s="11">
        <v>45836</v>
      </c>
      <c r="AD2" s="25"/>
      <c r="AE2" s="25"/>
    </row>
    <row r="3" spans="1:37" x14ac:dyDescent="0.15">
      <c r="E3" s="3" t="s">
        <v>77</v>
      </c>
      <c r="F3" s="3" t="s">
        <v>76</v>
      </c>
      <c r="G3" s="3" t="s">
        <v>75</v>
      </c>
      <c r="H3" s="3" t="s">
        <v>74</v>
      </c>
      <c r="I3" s="3" t="s">
        <v>73</v>
      </c>
      <c r="J3" s="3" t="s">
        <v>72</v>
      </c>
      <c r="K3" s="3" t="s">
        <v>54</v>
      </c>
      <c r="L3" s="3" t="s">
        <v>52</v>
      </c>
      <c r="M3" s="3" t="s">
        <v>51</v>
      </c>
      <c r="N3" s="3" t="s">
        <v>50</v>
      </c>
      <c r="O3" s="3" t="s">
        <v>49</v>
      </c>
      <c r="P3" s="3" t="s">
        <v>48</v>
      </c>
      <c r="Q3" s="3" t="s">
        <v>31</v>
      </c>
      <c r="R3" s="3" t="s">
        <v>79</v>
      </c>
      <c r="S3" s="3" t="s">
        <v>80</v>
      </c>
      <c r="T3" s="3" t="s">
        <v>89</v>
      </c>
      <c r="U3" s="3"/>
      <c r="V3">
        <v>2020</v>
      </c>
      <c r="W3">
        <f>+V3+1</f>
        <v>2021</v>
      </c>
      <c r="X3">
        <f t="shared" ref="X3:AK3" si="0">+W3+1</f>
        <v>2022</v>
      </c>
      <c r="Y3">
        <f t="shared" si="0"/>
        <v>2023</v>
      </c>
      <c r="Z3">
        <f t="shared" si="0"/>
        <v>2024</v>
      </c>
      <c r="AA3">
        <f t="shared" si="0"/>
        <v>2025</v>
      </c>
      <c r="AB3">
        <f t="shared" si="0"/>
        <v>2026</v>
      </c>
      <c r="AC3">
        <f t="shared" si="0"/>
        <v>2027</v>
      </c>
      <c r="AD3" s="24">
        <f t="shared" si="0"/>
        <v>2028</v>
      </c>
      <c r="AE3" s="24">
        <f t="shared" si="0"/>
        <v>2029</v>
      </c>
      <c r="AF3">
        <f t="shared" si="0"/>
        <v>2030</v>
      </c>
      <c r="AG3">
        <f t="shared" si="0"/>
        <v>2031</v>
      </c>
      <c r="AH3">
        <f t="shared" si="0"/>
        <v>2032</v>
      </c>
      <c r="AI3">
        <f t="shared" si="0"/>
        <v>2033</v>
      </c>
      <c r="AJ3">
        <f t="shared" si="0"/>
        <v>2034</v>
      </c>
      <c r="AK3">
        <f t="shared" si="0"/>
        <v>2035</v>
      </c>
    </row>
    <row r="4" spans="1:37" x14ac:dyDescent="0.15">
      <c r="B4" s="20" t="s">
        <v>93</v>
      </c>
      <c r="L4" s="5"/>
      <c r="M4" s="5">
        <v>2240</v>
      </c>
      <c r="N4" s="5">
        <v>2468</v>
      </c>
      <c r="O4" s="5">
        <v>2215</v>
      </c>
      <c r="P4" s="5"/>
      <c r="Q4" s="5">
        <v>2040</v>
      </c>
      <c r="R4" s="5">
        <v>2162</v>
      </c>
      <c r="S4" s="5">
        <v>1922</v>
      </c>
      <c r="T4" s="3"/>
      <c r="U4" s="3"/>
      <c r="X4" s="2">
        <v>8199</v>
      </c>
      <c r="Y4" s="2">
        <v>8874</v>
      </c>
      <c r="Z4" s="2">
        <v>8987</v>
      </c>
    </row>
    <row r="5" spans="1:37" x14ac:dyDescent="0.15">
      <c r="B5" s="20" t="s">
        <v>92</v>
      </c>
      <c r="L5" s="5"/>
      <c r="M5" s="5">
        <v>2842</v>
      </c>
      <c r="N5" s="5">
        <v>2518</v>
      </c>
      <c r="O5" s="5">
        <v>2287</v>
      </c>
      <c r="P5" s="5"/>
      <c r="Q5" s="5">
        <v>2270</v>
      </c>
      <c r="R5" s="5">
        <v>2295</v>
      </c>
      <c r="S5" s="5">
        <v>1986</v>
      </c>
      <c r="T5" s="3"/>
      <c r="U5" s="3"/>
      <c r="X5" s="2">
        <v>7874</v>
      </c>
      <c r="Y5" s="2">
        <v>11531</v>
      </c>
      <c r="Z5" s="2">
        <v>9894</v>
      </c>
    </row>
    <row r="6" spans="1:37" x14ac:dyDescent="0.15">
      <c r="B6" s="20" t="s">
        <v>91</v>
      </c>
      <c r="L6" s="5"/>
      <c r="M6" s="5">
        <v>2529</v>
      </c>
      <c r="N6" s="5">
        <v>2821</v>
      </c>
      <c r="O6" s="5">
        <v>2942</v>
      </c>
      <c r="P6" s="5"/>
      <c r="Q6" s="5">
        <v>2902</v>
      </c>
      <c r="R6" s="5">
        <v>3034</v>
      </c>
      <c r="S6" s="5">
        <v>3170</v>
      </c>
      <c r="T6" s="3"/>
      <c r="U6" s="3"/>
      <c r="X6" s="2">
        <v>8901</v>
      </c>
      <c r="Y6" s="2">
        <v>10199</v>
      </c>
      <c r="Z6" s="2">
        <v>11352</v>
      </c>
    </row>
    <row r="7" spans="1:37" x14ac:dyDescent="0.15">
      <c r="B7" s="20" t="s">
        <v>90</v>
      </c>
      <c r="L7" s="5"/>
      <c r="M7" s="5">
        <v>708</v>
      </c>
      <c r="N7" s="5">
        <v>888</v>
      </c>
      <c r="O7" s="5">
        <v>912</v>
      </c>
      <c r="P7" s="5"/>
      <c r="Q7" s="5">
        <v>872</v>
      </c>
      <c r="R7" s="5">
        <v>1054</v>
      </c>
      <c r="S7" s="5">
        <v>1126</v>
      </c>
      <c r="T7" s="3"/>
      <c r="U7" s="3"/>
      <c r="X7" s="2">
        <v>2951</v>
      </c>
      <c r="Y7" s="2">
        <v>3125</v>
      </c>
      <c r="Z7" s="2">
        <v>3500</v>
      </c>
    </row>
    <row r="8" spans="1:37" s="6" customFormat="1" x14ac:dyDescent="0.15">
      <c r="B8" s="2" t="s">
        <v>7</v>
      </c>
      <c r="C8" s="7"/>
      <c r="D8" s="7"/>
      <c r="E8" s="7"/>
      <c r="F8" s="7"/>
      <c r="H8" s="7"/>
      <c r="M8" s="6">
        <v>8403</v>
      </c>
      <c r="N8" s="6">
        <v>8796</v>
      </c>
      <c r="O8" s="6">
        <v>8456</v>
      </c>
      <c r="P8" s="6">
        <v>8447</v>
      </c>
      <c r="Q8" s="6">
        <v>8174</v>
      </c>
      <c r="R8" s="6">
        <v>8643</v>
      </c>
      <c r="S8" s="6">
        <v>8317</v>
      </c>
      <c r="T8" s="6">
        <f>+P8*0.99</f>
        <v>8362.5300000000007</v>
      </c>
      <c r="X8" s="6">
        <v>28075</v>
      </c>
      <c r="Y8" s="6">
        <v>34065</v>
      </c>
      <c r="Z8" s="6">
        <v>34102</v>
      </c>
      <c r="AA8" s="6">
        <f>+SUM(Q8:T8)</f>
        <v>33496.53</v>
      </c>
      <c r="AB8" s="6">
        <f>+AA8*1.06</f>
        <v>35506.321799999998</v>
      </c>
      <c r="AC8" s="6">
        <f>+AB8*1.04</f>
        <v>36926.574672000002</v>
      </c>
      <c r="AD8" s="26">
        <f>+AC8*1.12</f>
        <v>41357.76363264001</v>
      </c>
      <c r="AE8" s="26">
        <f>+AD8*1.14</f>
        <v>47147.850541209606</v>
      </c>
      <c r="AF8" s="6">
        <f>+AE8*1.04</f>
        <v>49033.764562857992</v>
      </c>
      <c r="AG8" s="6">
        <f>+AF8*0.94</f>
        <v>46091.738689086509</v>
      </c>
      <c r="AH8" s="6">
        <f t="shared" ref="AH8:AK8" si="1">+AG8*1.04</f>
        <v>47935.408236649972</v>
      </c>
      <c r="AI8" s="6">
        <f t="shared" si="1"/>
        <v>49852.824566115974</v>
      </c>
      <c r="AJ8" s="6">
        <f t="shared" si="1"/>
        <v>51846.937548760616</v>
      </c>
      <c r="AK8" s="6">
        <f t="shared" si="1"/>
        <v>53920.81505071104</v>
      </c>
    </row>
    <row r="9" spans="1:37" s="2" customFormat="1" x14ac:dyDescent="0.15">
      <c r="B9" s="6" t="s">
        <v>57</v>
      </c>
      <c r="C9" s="5"/>
      <c r="D9" s="5"/>
      <c r="E9" s="5"/>
      <c r="F9" s="5"/>
      <c r="G9" s="5"/>
      <c r="H9" s="5"/>
      <c r="I9" s="5"/>
      <c r="J9" s="5"/>
      <c r="K9" s="5"/>
      <c r="L9" s="5"/>
      <c r="M9" s="2">
        <v>6362</v>
      </c>
      <c r="N9" s="2">
        <v>6603</v>
      </c>
      <c r="O9" s="2">
        <v>6285</v>
      </c>
      <c r="P9" s="2">
        <v>6413</v>
      </c>
      <c r="Q9" s="2">
        <v>6019</v>
      </c>
      <c r="R9" s="2">
        <v>6362</v>
      </c>
      <c r="S9" s="2">
        <v>6188</v>
      </c>
      <c r="T9" s="6">
        <f>+T8-T10</f>
        <v>6221.7223200000008</v>
      </c>
      <c r="U9" s="6"/>
      <c r="W9" s="6"/>
      <c r="X9" s="2">
        <v>21355</v>
      </c>
      <c r="Y9" s="2">
        <v>25816</v>
      </c>
      <c r="Z9" s="2">
        <v>25663</v>
      </c>
      <c r="AA9" s="6"/>
      <c r="AB9" s="6"/>
      <c r="AC9" s="6"/>
      <c r="AD9" s="27"/>
      <c r="AE9" s="27"/>
    </row>
    <row r="10" spans="1:37" s="2" customFormat="1" x14ac:dyDescent="0.15">
      <c r="B10" s="2" t="s">
        <v>9</v>
      </c>
      <c r="C10" s="5"/>
      <c r="D10" s="5"/>
      <c r="E10" s="5"/>
      <c r="F10" s="5"/>
      <c r="G10" s="5"/>
      <c r="H10" s="5"/>
      <c r="M10" s="2">
        <f>+M8-M9</f>
        <v>2041</v>
      </c>
      <c r="N10" s="2">
        <f>+N8-N9</f>
        <v>2193</v>
      </c>
      <c r="O10" s="2">
        <f>+O8-O9</f>
        <v>2171</v>
      </c>
      <c r="P10" s="2">
        <f>+P8-P9</f>
        <v>2034</v>
      </c>
      <c r="Q10" s="2">
        <f>+Q8-Q9</f>
        <v>2155</v>
      </c>
      <c r="R10" s="2">
        <f>+R8-R9</f>
        <v>2281</v>
      </c>
      <c r="S10" s="2">
        <f>+S8-S9</f>
        <v>2129</v>
      </c>
      <c r="T10" s="2">
        <f>+T8*0.256</f>
        <v>2140.8076800000003</v>
      </c>
      <c r="U10" s="6"/>
      <c r="X10" s="2">
        <f>+X8-X9</f>
        <v>6720</v>
      </c>
      <c r="Y10" s="2">
        <f>+Y8-Y9</f>
        <v>8249</v>
      </c>
      <c r="Z10" s="2">
        <f>+Z8-Z9</f>
        <v>8439</v>
      </c>
      <c r="AD10" s="27"/>
      <c r="AE10" s="27"/>
    </row>
    <row r="11" spans="1:37" s="2" customFormat="1" x14ac:dyDescent="0.15">
      <c r="B11" s="2" t="s">
        <v>82</v>
      </c>
      <c r="C11" s="5"/>
      <c r="D11" s="5"/>
      <c r="E11" s="5"/>
      <c r="F11" s="5"/>
      <c r="G11" s="5"/>
      <c r="H11" s="5"/>
      <c r="M11" s="2">
        <v>839</v>
      </c>
      <c r="N11" s="2">
        <v>828</v>
      </c>
      <c r="O11" s="2">
        <v>807</v>
      </c>
      <c r="P11" s="2">
        <v>801</v>
      </c>
      <c r="Q11" s="2">
        <v>771</v>
      </c>
      <c r="R11" s="2">
        <v>779</v>
      </c>
      <c r="S11" s="2">
        <v>789</v>
      </c>
      <c r="U11" s="6"/>
      <c r="X11" s="2">
        <v>2687</v>
      </c>
      <c r="Y11" s="2">
        <v>3333</v>
      </c>
      <c r="Z11" s="2">
        <v>3275</v>
      </c>
      <c r="AD11" s="27"/>
      <c r="AE11" s="27"/>
    </row>
    <row r="12" spans="1:37" s="2" customFormat="1" x14ac:dyDescent="0.15">
      <c r="B12" s="2" t="s">
        <v>83</v>
      </c>
      <c r="C12" s="5"/>
      <c r="D12" s="5"/>
      <c r="E12" s="5"/>
      <c r="F12" s="5"/>
      <c r="G12" s="5"/>
      <c r="H12" s="5"/>
      <c r="M12" s="2">
        <v>369</v>
      </c>
      <c r="N12" s="2">
        <v>379</v>
      </c>
      <c r="O12" s="2">
        <v>359</v>
      </c>
      <c r="P12" s="2">
        <v>356</v>
      </c>
      <c r="Q12" s="2">
        <v>344</v>
      </c>
      <c r="R12" s="2">
        <v>357</v>
      </c>
      <c r="S12" s="2">
        <v>345</v>
      </c>
      <c r="U12" s="6"/>
      <c r="X12" s="2">
        <v>1278</v>
      </c>
      <c r="Y12" s="2">
        <v>1500</v>
      </c>
      <c r="Z12" s="2">
        <v>1463</v>
      </c>
      <c r="AD12" s="27"/>
      <c r="AE12" s="27"/>
    </row>
    <row r="13" spans="1:37" s="2" customFormat="1" x14ac:dyDescent="0.15">
      <c r="B13" s="2" t="s">
        <v>84</v>
      </c>
      <c r="C13" s="5"/>
      <c r="D13" s="5"/>
      <c r="E13" s="5"/>
      <c r="F13" s="5"/>
      <c r="G13" s="5"/>
      <c r="H13" s="5"/>
      <c r="M13" s="2">
        <v>33</v>
      </c>
      <c r="N13" s="2">
        <v>44</v>
      </c>
      <c r="O13" s="2">
        <v>54</v>
      </c>
      <c r="P13" s="2">
        <v>215</v>
      </c>
      <c r="Q13" s="2">
        <v>37</v>
      </c>
      <c r="R13" s="2">
        <v>37</v>
      </c>
      <c r="S13" s="2">
        <v>247</v>
      </c>
      <c r="U13" s="6"/>
      <c r="X13" s="2">
        <v>174</v>
      </c>
      <c r="Y13" s="2">
        <v>2183</v>
      </c>
      <c r="Z13" s="2">
        <v>346</v>
      </c>
      <c r="AD13" s="27"/>
      <c r="AE13" s="27"/>
    </row>
    <row r="14" spans="1:37" s="2" customFormat="1" x14ac:dyDescent="0.15">
      <c r="B14" s="17" t="s">
        <v>78</v>
      </c>
      <c r="C14" s="5"/>
      <c r="D14" s="5"/>
      <c r="E14" s="5"/>
      <c r="F14" s="5"/>
      <c r="G14" s="5"/>
      <c r="M14" s="2">
        <f>+SUM(M11:M13)</f>
        <v>1241</v>
      </c>
      <c r="N14" s="2">
        <f>+SUM(N11:N13)</f>
        <v>1251</v>
      </c>
      <c r="O14" s="2">
        <f>+SUM(O11:O13)</f>
        <v>1220</v>
      </c>
      <c r="P14" s="2">
        <f>+SUM(P11:P13)</f>
        <v>1372</v>
      </c>
      <c r="Q14" s="2">
        <f>+SUM(Q11:Q13)</f>
        <v>1152</v>
      </c>
      <c r="R14" s="2">
        <f>+SUM(R11:R13)</f>
        <v>1173</v>
      </c>
      <c r="S14" s="2">
        <f>+SUM(S11:S13)</f>
        <v>1381</v>
      </c>
      <c r="T14" s="2">
        <f>+P14*1.05</f>
        <v>1440.6000000000001</v>
      </c>
      <c r="X14" s="2">
        <f>+SUM(X11:X13)</f>
        <v>4139</v>
      </c>
      <c r="Y14" s="2">
        <f>+SUM(Y11:Y13)</f>
        <v>7016</v>
      </c>
      <c r="Z14" s="2">
        <f>+SUM(Z11:Z13)</f>
        <v>5084</v>
      </c>
      <c r="AA14" s="2">
        <f>+SUM(Q14:T14)</f>
        <v>5146.6000000000004</v>
      </c>
      <c r="AD14" s="27"/>
      <c r="AE14" s="27"/>
    </row>
    <row r="15" spans="1:37" s="2" customFormat="1" x14ac:dyDescent="0.15">
      <c r="B15" s="2" t="s">
        <v>58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2">
        <f>+M10-M14</f>
        <v>800</v>
      </c>
      <c r="N15" s="2">
        <f>+N10-N14</f>
        <v>942</v>
      </c>
      <c r="O15" s="2">
        <f>+O10-O14</f>
        <v>951</v>
      </c>
      <c r="P15" s="2">
        <f>+P10-P14</f>
        <v>662</v>
      </c>
      <c r="Q15" s="2">
        <f>+Q10-Q14</f>
        <v>1003</v>
      </c>
      <c r="R15" s="2">
        <f>+R10-R14</f>
        <v>1108</v>
      </c>
      <c r="S15" s="2">
        <f>+S10-S14</f>
        <v>748</v>
      </c>
      <c r="T15" s="2">
        <f>+T10-T14</f>
        <v>700.20768000000021</v>
      </c>
      <c r="X15" s="2">
        <f>+X10-X14</f>
        <v>2581</v>
      </c>
      <c r="Y15" s="2">
        <f>+Y10-Y14</f>
        <v>1233</v>
      </c>
      <c r="Z15" s="2">
        <f>+Z10-Z14</f>
        <v>3355</v>
      </c>
      <c r="AA15" s="2">
        <f>+SUM(Q15:T15)</f>
        <v>3559.2076800000004</v>
      </c>
      <c r="AB15" s="2">
        <f>+AB8*0.11</f>
        <v>3905.6953979999998</v>
      </c>
      <c r="AC15" s="2">
        <f t="shared" ref="AC15" si="2">+AC8*0.11</f>
        <v>4061.9232139200003</v>
      </c>
      <c r="AD15" s="2">
        <f>+AD8*0.12</f>
        <v>4962.9316359168006</v>
      </c>
      <c r="AE15" s="2">
        <f>+AE8*0.12</f>
        <v>5657.7420649451524</v>
      </c>
      <c r="AF15" s="2">
        <f>+AF8*0.06</f>
        <v>2942.0258737714794</v>
      </c>
      <c r="AG15" s="2">
        <f>+AG8*0.11</f>
        <v>5070.0912557995161</v>
      </c>
      <c r="AH15" s="2">
        <f>+AH8*0.13</f>
        <v>6231.6030707644968</v>
      </c>
      <c r="AI15" s="2">
        <f t="shared" ref="AI15:AK15" si="3">+AI8*0.13</f>
        <v>6480.867193595077</v>
      </c>
      <c r="AJ15" s="2">
        <f t="shared" si="3"/>
        <v>6740.10188133888</v>
      </c>
      <c r="AK15" s="2">
        <f t="shared" si="3"/>
        <v>7009.7059565924355</v>
      </c>
    </row>
    <row r="16" spans="1:37" s="2" customFormat="1" x14ac:dyDescent="0.15">
      <c r="B16" s="17" t="s">
        <v>85</v>
      </c>
      <c r="C16" s="5"/>
      <c r="D16" s="5"/>
      <c r="E16" s="5"/>
      <c r="F16" s="5"/>
      <c r="G16" s="5"/>
      <c r="M16" s="2">
        <f>-89+1387</f>
        <v>1298</v>
      </c>
      <c r="N16" s="2">
        <f>-109+41</f>
        <v>-68</v>
      </c>
      <c r="O16" s="2">
        <f>-83+76</f>
        <v>-7</v>
      </c>
      <c r="P16" s="2">
        <f>-89+19</f>
        <v>-70</v>
      </c>
      <c r="Q16" s="2">
        <f>-77+60</f>
        <v>-17</v>
      </c>
      <c r="R16" s="2">
        <f>-87+86</f>
        <v>-1</v>
      </c>
      <c r="S16" s="2">
        <f>-83+61</f>
        <v>-22</v>
      </c>
      <c r="T16" s="2">
        <f>-83+61</f>
        <v>-22</v>
      </c>
      <c r="X16" s="2">
        <f>-199+89</f>
        <v>-110</v>
      </c>
      <c r="Y16" s="2">
        <f>-375+240</f>
        <v>-135</v>
      </c>
      <c r="Z16" s="2">
        <f>-370+1523</f>
        <v>1153</v>
      </c>
      <c r="AA16" s="23">
        <f>+SUM(Q16:T16)</f>
        <v>-62</v>
      </c>
      <c r="AB16" s="2">
        <f>+AA16*1.03</f>
        <v>-63.86</v>
      </c>
      <c r="AC16" s="2">
        <f t="shared" ref="AC16:AK16" si="4">+AB16*1.03</f>
        <v>-65.775800000000004</v>
      </c>
      <c r="AD16" s="2">
        <f t="shared" si="4"/>
        <v>-67.749074000000007</v>
      </c>
      <c r="AE16" s="2">
        <f t="shared" si="4"/>
        <v>-69.78154622000001</v>
      </c>
      <c r="AF16" s="2">
        <f t="shared" si="4"/>
        <v>-71.874992606600017</v>
      </c>
      <c r="AG16" s="2">
        <f t="shared" si="4"/>
        <v>-74.03124238479802</v>
      </c>
      <c r="AH16" s="2">
        <f t="shared" si="4"/>
        <v>-76.252179656341966</v>
      </c>
      <c r="AI16" s="2">
        <f t="shared" si="4"/>
        <v>-78.539745046032223</v>
      </c>
      <c r="AJ16" s="2">
        <f t="shared" si="4"/>
        <v>-80.895937397413192</v>
      </c>
      <c r="AK16" s="2">
        <f t="shared" si="4"/>
        <v>-83.322815519335592</v>
      </c>
    </row>
    <row r="17" spans="2:76" s="2" customFormat="1" x14ac:dyDescent="0.15">
      <c r="B17" s="2" t="s">
        <v>86</v>
      </c>
      <c r="C17" s="5"/>
      <c r="D17" s="5"/>
      <c r="E17" s="5"/>
      <c r="F17" s="5"/>
      <c r="G17" s="5"/>
      <c r="H17" s="5"/>
      <c r="M17" s="2">
        <v>123</v>
      </c>
      <c r="N17" s="2">
        <v>103</v>
      </c>
      <c r="O17" s="2">
        <v>99</v>
      </c>
      <c r="P17" s="2">
        <v>70</v>
      </c>
      <c r="Q17" s="2">
        <v>131</v>
      </c>
      <c r="R17" s="2">
        <v>118</v>
      </c>
      <c r="S17" s="2">
        <v>104</v>
      </c>
      <c r="T17" s="2">
        <v>104</v>
      </c>
      <c r="X17" s="2">
        <v>349</v>
      </c>
      <c r="Y17" s="2">
        <v>483</v>
      </c>
      <c r="Z17" s="2">
        <v>395</v>
      </c>
      <c r="AA17" s="23">
        <f>+SUM(Q17:T17)</f>
        <v>457</v>
      </c>
      <c r="AB17" s="23">
        <f>+AA17*1.05</f>
        <v>479.85</v>
      </c>
      <c r="AC17" s="23">
        <f t="shared" ref="AC17:AK17" si="5">+AB17*1.05</f>
        <v>503.84250000000003</v>
      </c>
      <c r="AD17" s="23">
        <f t="shared" si="5"/>
        <v>529.03462500000001</v>
      </c>
      <c r="AE17" s="23">
        <f t="shared" si="5"/>
        <v>555.48635625000009</v>
      </c>
      <c r="AF17" s="23">
        <f t="shared" si="5"/>
        <v>583.26067406250013</v>
      </c>
      <c r="AG17" s="23">
        <f t="shared" si="5"/>
        <v>612.42370776562518</v>
      </c>
      <c r="AH17" s="23">
        <f t="shared" si="5"/>
        <v>643.04489315390651</v>
      </c>
      <c r="AI17" s="23">
        <f t="shared" si="5"/>
        <v>675.19713781160192</v>
      </c>
      <c r="AJ17" s="23">
        <f t="shared" si="5"/>
        <v>708.9569947021821</v>
      </c>
      <c r="AK17" s="23">
        <f t="shared" si="5"/>
        <v>744.40484443729122</v>
      </c>
    </row>
    <row r="18" spans="2:76" s="2" customFormat="1" x14ac:dyDescent="0.15">
      <c r="B18" s="2" t="s">
        <v>13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2">
        <f>+SUM(M15:M17)</f>
        <v>2221</v>
      </c>
      <c r="N18" s="2">
        <f>+SUM(N15:N17)</f>
        <v>977</v>
      </c>
      <c r="O18" s="2">
        <f>+SUM(O15:O17)</f>
        <v>1043</v>
      </c>
      <c r="P18" s="2">
        <f>+SUM(P15:P17)</f>
        <v>662</v>
      </c>
      <c r="Q18" s="2">
        <f>+SUM(Q15:Q17)</f>
        <v>1117</v>
      </c>
      <c r="R18" s="2">
        <f>+SUM(R15:R17)</f>
        <v>1225</v>
      </c>
      <c r="S18" s="2">
        <f>+SUM(S15:S17)</f>
        <v>830</v>
      </c>
      <c r="T18" s="2">
        <f>+SUM(T15:T17)</f>
        <v>782.20768000000021</v>
      </c>
      <c r="X18" s="2">
        <f>+SUM(X15:X17)</f>
        <v>2820</v>
      </c>
      <c r="Y18" s="2">
        <f>+SUM(Y15:Y17)</f>
        <v>1581</v>
      </c>
      <c r="Z18" s="2">
        <f>+SUM(Z15:Z17)</f>
        <v>4903</v>
      </c>
      <c r="AA18" s="23">
        <f>+SUM(AA15:AA17)</f>
        <v>3954.2076800000004</v>
      </c>
      <c r="AB18" s="6">
        <f>+AB15+AB16+AB17</f>
        <v>4321.6853979999996</v>
      </c>
      <c r="AC18" s="6">
        <f t="shared" ref="AC18:AK18" si="6">+AC15+AC16+AC17</f>
        <v>4499.9899139200006</v>
      </c>
      <c r="AD18" s="6">
        <f t="shared" si="6"/>
        <v>5424.2171869168005</v>
      </c>
      <c r="AE18" s="6">
        <f t="shared" si="6"/>
        <v>6143.4468749751532</v>
      </c>
      <c r="AF18" s="6">
        <f t="shared" si="6"/>
        <v>3453.4115552273793</v>
      </c>
      <c r="AG18" s="6">
        <f t="shared" si="6"/>
        <v>5608.4837211803433</v>
      </c>
      <c r="AH18" s="6">
        <f t="shared" si="6"/>
        <v>6798.3957842620612</v>
      </c>
      <c r="AI18" s="6">
        <f t="shared" si="6"/>
        <v>7077.5245863606469</v>
      </c>
      <c r="AJ18" s="6">
        <f t="shared" si="6"/>
        <v>7368.1629386436489</v>
      </c>
      <c r="AK18" s="6">
        <f t="shared" si="6"/>
        <v>7670.7879855103911</v>
      </c>
    </row>
    <row r="19" spans="2:76" s="2" customFormat="1" x14ac:dyDescent="0.15">
      <c r="B19" s="2" t="s">
        <v>12</v>
      </c>
      <c r="C19" s="5"/>
      <c r="D19" s="5"/>
      <c r="E19" s="5"/>
      <c r="F19" s="5"/>
      <c r="G19" s="5"/>
      <c r="M19" s="2">
        <v>193</v>
      </c>
      <c r="N19" s="2">
        <v>225</v>
      </c>
      <c r="O19" s="2">
        <v>200</v>
      </c>
      <c r="P19" s="2">
        <v>217</v>
      </c>
      <c r="Q19" s="2">
        <v>267</v>
      </c>
      <c r="R19" s="2">
        <v>297</v>
      </c>
      <c r="S19" s="2">
        <v>271</v>
      </c>
      <c r="T19" s="2">
        <f>+T18*0.28</f>
        <v>219.01815040000008</v>
      </c>
      <c r="X19" s="2">
        <v>636</v>
      </c>
      <c r="Y19" s="2">
        <v>786</v>
      </c>
      <c r="Z19" s="2">
        <v>835</v>
      </c>
      <c r="AA19" s="23">
        <f>+SUM(Q19:T19)</f>
        <v>1054.0181504000002</v>
      </c>
      <c r="AB19" s="6">
        <f>+AB18*0.27</f>
        <v>1166.8550574599999</v>
      </c>
      <c r="AC19" s="6">
        <f t="shared" ref="AC19:AK19" si="7">+AC18*0.27</f>
        <v>1214.9972767584002</v>
      </c>
      <c r="AD19" s="6">
        <f t="shared" si="7"/>
        <v>1464.5386404675362</v>
      </c>
      <c r="AE19" s="6">
        <f t="shared" si="7"/>
        <v>1658.7306562432914</v>
      </c>
      <c r="AF19" s="6">
        <f t="shared" si="7"/>
        <v>932.42111991139245</v>
      </c>
      <c r="AG19" s="6">
        <f t="shared" si="7"/>
        <v>1514.2906047186927</v>
      </c>
      <c r="AH19" s="6">
        <f t="shared" si="7"/>
        <v>1835.5668617507567</v>
      </c>
      <c r="AI19" s="6">
        <f t="shared" si="7"/>
        <v>1910.9316383173748</v>
      </c>
      <c r="AJ19" s="6">
        <f t="shared" si="7"/>
        <v>1989.4039934337852</v>
      </c>
      <c r="AK19" s="6">
        <f t="shared" si="7"/>
        <v>2071.1127560878058</v>
      </c>
    </row>
    <row r="20" spans="2:76" s="2" customFormat="1" x14ac:dyDescent="0.15">
      <c r="B20" s="2" t="s">
        <v>11</v>
      </c>
      <c r="C20" s="5"/>
      <c r="D20" s="5"/>
      <c r="E20" s="5"/>
      <c r="F20" s="5"/>
      <c r="G20" s="5"/>
      <c r="H20" s="5"/>
      <c r="M20" s="2">
        <f>+M18-M19</f>
        <v>2028</v>
      </c>
      <c r="N20" s="2">
        <f>+N18-N19</f>
        <v>752</v>
      </c>
      <c r="O20" s="2">
        <f>+O18-O19</f>
        <v>843</v>
      </c>
      <c r="P20" s="2">
        <f>+P18-P19</f>
        <v>445</v>
      </c>
      <c r="Q20" s="2">
        <f>+Q18-Q19</f>
        <v>850</v>
      </c>
      <c r="R20" s="2">
        <f>+R18-R19</f>
        <v>928</v>
      </c>
      <c r="S20" s="2">
        <f>+S18-S19</f>
        <v>559</v>
      </c>
      <c r="T20" s="2">
        <f>+T18-T19</f>
        <v>563.18952960000013</v>
      </c>
      <c r="X20" s="2">
        <f>+X18-X19</f>
        <v>2184</v>
      </c>
      <c r="Y20" s="2">
        <f>+Y18-Y19</f>
        <v>795</v>
      </c>
      <c r="Z20" s="2">
        <f>+Z18-Z19</f>
        <v>4068</v>
      </c>
      <c r="AA20" s="23">
        <f>+SUM(Q20:T20)</f>
        <v>2900.1895296000002</v>
      </c>
      <c r="AB20" s="23">
        <f>+AB18-AB19</f>
        <v>3154.8303405399997</v>
      </c>
      <c r="AC20" s="23">
        <f t="shared" ref="AC20:AK20" si="8">+AC18-AC19</f>
        <v>3284.9926371616002</v>
      </c>
      <c r="AD20" s="23">
        <f t="shared" si="8"/>
        <v>3959.6785464492641</v>
      </c>
      <c r="AE20" s="23">
        <f t="shared" si="8"/>
        <v>4484.7162187318618</v>
      </c>
      <c r="AF20" s="23">
        <f t="shared" si="8"/>
        <v>2520.9904353159868</v>
      </c>
      <c r="AG20" s="23">
        <f t="shared" si="8"/>
        <v>4094.1931164616508</v>
      </c>
      <c r="AH20" s="23">
        <f t="shared" si="8"/>
        <v>4962.828922511304</v>
      </c>
      <c r="AI20" s="23">
        <f t="shared" si="8"/>
        <v>5166.5929480432724</v>
      </c>
      <c r="AJ20" s="23">
        <f t="shared" si="8"/>
        <v>5378.7589452098637</v>
      </c>
      <c r="AK20" s="23">
        <f t="shared" si="8"/>
        <v>5599.6752294225853</v>
      </c>
      <c r="AL20" s="2">
        <f t="shared" ref="AL20:BX20" si="9">+AK20*(1.01)</f>
        <v>5655.6719817168114</v>
      </c>
      <c r="AM20" s="2">
        <f t="shared" si="9"/>
        <v>5712.2287015339798</v>
      </c>
      <c r="AN20" s="2">
        <f t="shared" si="9"/>
        <v>5769.3509885493195</v>
      </c>
      <c r="AO20" s="2">
        <f t="shared" si="9"/>
        <v>5827.0444984348123</v>
      </c>
      <c r="AP20" s="2">
        <f t="shared" si="9"/>
        <v>5885.314943419161</v>
      </c>
      <c r="AQ20" s="2">
        <f t="shared" si="9"/>
        <v>5944.1680928533524</v>
      </c>
      <c r="AR20" s="2">
        <f t="shared" si="9"/>
        <v>6003.6097737818864</v>
      </c>
      <c r="AS20" s="2">
        <f t="shared" si="9"/>
        <v>6063.645871519705</v>
      </c>
      <c r="AT20" s="2">
        <f t="shared" si="9"/>
        <v>6124.2823302349025</v>
      </c>
      <c r="AU20" s="2">
        <f t="shared" si="9"/>
        <v>6185.5251535372518</v>
      </c>
      <c r="AV20" s="2">
        <f t="shared" si="9"/>
        <v>6247.3804050726239</v>
      </c>
      <c r="AW20" s="2">
        <f t="shared" si="9"/>
        <v>6309.8542091233503</v>
      </c>
      <c r="AX20" s="2">
        <f t="shared" si="9"/>
        <v>6372.9527512145842</v>
      </c>
      <c r="AY20" s="2">
        <f t="shared" si="9"/>
        <v>6436.6822787267301</v>
      </c>
      <c r="AZ20" s="2">
        <f t="shared" si="9"/>
        <v>6501.0491015139978</v>
      </c>
      <c r="BA20" s="2">
        <f t="shared" si="9"/>
        <v>6566.0595925291382</v>
      </c>
      <c r="BB20" s="2">
        <f t="shared" si="9"/>
        <v>6631.7201884544293</v>
      </c>
      <c r="BC20" s="2">
        <f t="shared" si="9"/>
        <v>6698.0373903389736</v>
      </c>
      <c r="BD20" s="2">
        <f t="shared" si="9"/>
        <v>6765.0177642423632</v>
      </c>
      <c r="BE20" s="2">
        <f t="shared" si="9"/>
        <v>6832.6679418847871</v>
      </c>
      <c r="BF20" s="2">
        <f t="shared" si="9"/>
        <v>6900.9946213036346</v>
      </c>
      <c r="BG20" s="2">
        <f t="shared" si="9"/>
        <v>6970.0045675166712</v>
      </c>
      <c r="BH20" s="2">
        <f t="shared" si="9"/>
        <v>7039.7046131918378</v>
      </c>
      <c r="BI20" s="2">
        <f t="shared" si="9"/>
        <v>7110.1016593237564</v>
      </c>
      <c r="BJ20" s="2">
        <f t="shared" si="9"/>
        <v>7181.2026759169939</v>
      </c>
      <c r="BK20" s="2">
        <f t="shared" si="9"/>
        <v>7253.0147026761642</v>
      </c>
      <c r="BL20" s="2">
        <f t="shared" si="9"/>
        <v>7325.5448497029256</v>
      </c>
      <c r="BM20" s="2">
        <f t="shared" si="9"/>
        <v>7398.8002981999553</v>
      </c>
      <c r="BN20" s="2">
        <f t="shared" si="9"/>
        <v>7472.7883011819549</v>
      </c>
      <c r="BO20" s="2">
        <f t="shared" si="9"/>
        <v>7547.5161841937743</v>
      </c>
      <c r="BP20" s="2">
        <f t="shared" si="9"/>
        <v>7622.991346035712</v>
      </c>
      <c r="BQ20" s="2">
        <f t="shared" si="9"/>
        <v>7699.2212594960693</v>
      </c>
      <c r="BR20" s="2">
        <f t="shared" si="9"/>
        <v>7776.2134720910299</v>
      </c>
      <c r="BS20" s="2">
        <f t="shared" si="9"/>
        <v>7853.9756068119405</v>
      </c>
      <c r="BT20" s="2">
        <f t="shared" si="9"/>
        <v>7932.5153628800599</v>
      </c>
      <c r="BU20" s="2">
        <f t="shared" si="9"/>
        <v>8011.8405165088607</v>
      </c>
      <c r="BV20" s="2">
        <f t="shared" si="9"/>
        <v>8091.9589216739496</v>
      </c>
      <c r="BW20" s="2">
        <f t="shared" si="9"/>
        <v>8172.8785108906895</v>
      </c>
      <c r="BX20" s="2">
        <f t="shared" si="9"/>
        <v>8254.6072959995963</v>
      </c>
    </row>
    <row r="21" spans="2:76" x14ac:dyDescent="0.15">
      <c r="B21" t="s">
        <v>10</v>
      </c>
      <c r="D21" s="9"/>
      <c r="G21" s="9"/>
      <c r="H21" s="9"/>
      <c r="I21" s="1"/>
      <c r="J21" s="1"/>
      <c r="K21" s="1"/>
      <c r="L21" s="1"/>
      <c r="M21" s="1">
        <f>+M20/M22</f>
        <v>14.271639690358903</v>
      </c>
      <c r="N21" s="1">
        <f>+N20/N22</f>
        <v>5.4492753623188408</v>
      </c>
      <c r="O21" s="1">
        <f>+O20/O22</f>
        <v>6.1042722664735702</v>
      </c>
      <c r="P21" s="1">
        <f>+P20/P22</f>
        <v>3.2153179190751442</v>
      </c>
      <c r="Q21" s="1">
        <f>+Q20/Q22</f>
        <v>6.1460592913955168</v>
      </c>
      <c r="R21" s="1">
        <f>+R20/R22</f>
        <v>6.7003610108303251</v>
      </c>
      <c r="S21" s="1">
        <f>+S20/S22</f>
        <v>4.0273775216138326</v>
      </c>
      <c r="T21" s="1">
        <f>+T20/T22</f>
        <v>4.0575614524495682</v>
      </c>
      <c r="X21" s="1">
        <f>+X20/X22</f>
        <v>15.272727272727273</v>
      </c>
      <c r="Y21" s="1">
        <f>+Y20/Y22</f>
        <v>5.598591549295775</v>
      </c>
      <c r="Z21" s="1">
        <f>+Z20/Z22</f>
        <v>28.64788732394366</v>
      </c>
      <c r="AA21" s="14"/>
      <c r="AB21" s="14"/>
      <c r="AC21" s="14"/>
      <c r="AD21" s="28"/>
    </row>
    <row r="22" spans="2:76" s="2" customFormat="1" x14ac:dyDescent="0.15">
      <c r="B22" s="2" t="s">
        <v>1</v>
      </c>
      <c r="C22" s="5"/>
      <c r="D22" s="5"/>
      <c r="E22" s="5"/>
      <c r="F22" s="5"/>
      <c r="G22" s="5"/>
      <c r="M22" s="2">
        <v>142.1</v>
      </c>
      <c r="N22" s="2">
        <v>138</v>
      </c>
      <c r="O22" s="2">
        <v>138.1</v>
      </c>
      <c r="P22" s="2">
        <v>138.4</v>
      </c>
      <c r="Q22" s="2">
        <v>138.30000000000001</v>
      </c>
      <c r="R22" s="2">
        <v>138.5</v>
      </c>
      <c r="S22" s="2">
        <v>138.80000000000001</v>
      </c>
      <c r="T22" s="2">
        <v>138.80000000000001</v>
      </c>
      <c r="X22" s="2">
        <v>143</v>
      </c>
      <c r="Y22" s="2">
        <v>142</v>
      </c>
      <c r="Z22" s="2">
        <v>142</v>
      </c>
      <c r="AD22" s="27"/>
      <c r="AE22" s="27"/>
    </row>
    <row r="24" spans="2:76" ht="14" customHeight="1" x14ac:dyDescent="0.15">
      <c r="B24" t="s">
        <v>8</v>
      </c>
      <c r="I24" s="4"/>
      <c r="J24" s="4"/>
      <c r="K24" s="4"/>
      <c r="L24" s="4"/>
      <c r="M24" s="4"/>
      <c r="N24" s="4"/>
      <c r="O24" s="4"/>
      <c r="P24" s="4"/>
      <c r="Q24" s="21">
        <f>+Q8/M8-1</f>
        <v>-2.7252171843389239E-2</v>
      </c>
      <c r="R24" s="21">
        <f t="shared" ref="R24:T24" si="10">+R8/N8-1</f>
        <v>-1.7394270122783051E-2</v>
      </c>
      <c r="S24" s="21">
        <f t="shared" si="10"/>
        <v>-1.6438032166508965E-2</v>
      </c>
      <c r="T24" s="21">
        <f t="shared" si="10"/>
        <v>-9.9999999999998979E-3</v>
      </c>
      <c r="Y24" s="13">
        <f>Y8/X8-1</f>
        <v>0.21335707925200365</v>
      </c>
      <c r="Z24" s="13">
        <f>Z8/Y8-1</f>
        <v>1.0861588140320677E-3</v>
      </c>
      <c r="AA24" s="13">
        <f>AA8/Z8-1</f>
        <v>-1.7754677145035536E-2</v>
      </c>
      <c r="AB24" s="13">
        <f>AB8/AA8-1</f>
        <v>6.0000000000000053E-2</v>
      </c>
      <c r="AC24" s="13">
        <f>AC8/AB8-1</f>
        <v>4.0000000000000036E-2</v>
      </c>
      <c r="AD24" s="29">
        <f>AD8/AC8-1</f>
        <v>0.12000000000000011</v>
      </c>
      <c r="AE24" s="29">
        <f t="shared" ref="AE24:AK24" si="11">AE8/AD8-1</f>
        <v>0.1399999999999999</v>
      </c>
      <c r="AF24" s="13">
        <f t="shared" si="11"/>
        <v>4.0000000000000036E-2</v>
      </c>
      <c r="AG24" s="13">
        <f t="shared" si="11"/>
        <v>-6.0000000000000053E-2</v>
      </c>
      <c r="AH24" s="13">
        <f t="shared" si="11"/>
        <v>4.0000000000000036E-2</v>
      </c>
      <c r="AI24" s="13">
        <f t="shared" si="11"/>
        <v>4.0000000000000036E-2</v>
      </c>
      <c r="AJ24" s="13">
        <f t="shared" si="11"/>
        <v>4.0000000000000036E-2</v>
      </c>
      <c r="AK24" s="13">
        <f t="shared" si="11"/>
        <v>4.0000000000000036E-2</v>
      </c>
      <c r="AM24" t="s">
        <v>70</v>
      </c>
      <c r="AN24" s="13">
        <v>0.01</v>
      </c>
    </row>
    <row r="25" spans="2:76" ht="14" customHeight="1" x14ac:dyDescent="0.15">
      <c r="B25" s="20" t="s">
        <v>93</v>
      </c>
      <c r="I25" s="4"/>
      <c r="J25" s="4"/>
      <c r="K25" s="4"/>
      <c r="L25" s="4"/>
      <c r="M25" s="4"/>
      <c r="N25" s="4"/>
      <c r="O25" s="4"/>
      <c r="P25" s="4">
        <v>-0.02</v>
      </c>
      <c r="Q25" s="4">
        <f>+Q4/M4-1</f>
        <v>-8.9285714285714302E-2</v>
      </c>
      <c r="R25" s="4">
        <f>+R4/N4-1</f>
        <v>-0.12398703403565636</v>
      </c>
      <c r="S25" s="4">
        <f>+S4/O4-1</f>
        <v>-0.13227990970654624</v>
      </c>
      <c r="Y25" s="13">
        <f>+Y4/X4-1</f>
        <v>8.232711306256868E-2</v>
      </c>
      <c r="Z25" s="13">
        <f>+Z4/Y4-1</f>
        <v>1.2733829163849464E-2</v>
      </c>
      <c r="AA25" s="13"/>
      <c r="AB25" s="13"/>
      <c r="AC25" s="13"/>
      <c r="AD25" s="29"/>
      <c r="AM25" t="s">
        <v>68</v>
      </c>
      <c r="AN25" s="13">
        <v>9.5000000000000001E-2</v>
      </c>
    </row>
    <row r="26" spans="2:76" ht="14" customHeight="1" x14ac:dyDescent="0.15">
      <c r="B26" s="20" t="s">
        <v>92</v>
      </c>
      <c r="I26" s="4"/>
      <c r="J26" s="4"/>
      <c r="K26" s="4"/>
      <c r="L26" s="4"/>
      <c r="M26" s="4"/>
      <c r="N26" s="4"/>
      <c r="O26" s="4"/>
      <c r="P26" s="4">
        <v>-0.17</v>
      </c>
      <c r="Q26" s="4">
        <f>+Q5/M5-1</f>
        <v>-0.20126671358198456</v>
      </c>
      <c r="R26" s="4">
        <f>+R5/N5-1</f>
        <v>-8.856235107227961E-2</v>
      </c>
      <c r="S26" s="4">
        <f>+S5/O5-1</f>
        <v>-0.13161346742457369</v>
      </c>
      <c r="Y26" s="13">
        <f>+Y5/X5-1</f>
        <v>0.46443992887985774</v>
      </c>
      <c r="Z26" s="13">
        <f>+Z5/Y5-1</f>
        <v>-0.14196513745555461</v>
      </c>
      <c r="AA26" s="13"/>
      <c r="AB26" s="13"/>
      <c r="AC26" s="13"/>
      <c r="AD26" s="29"/>
      <c r="AM26" t="s">
        <v>69</v>
      </c>
      <c r="AN26" s="16">
        <f>+NPV(AN25,AB20:BX20)</f>
        <v>51197.602866408713</v>
      </c>
      <c r="AO26" s="18">
        <f>+(AN26*1.14)+Main!K5-Main!K6</f>
        <v>54107.267267705931</v>
      </c>
    </row>
    <row r="27" spans="2:76" ht="14" customHeight="1" x14ac:dyDescent="0.15">
      <c r="B27" s="20" t="s">
        <v>91</v>
      </c>
      <c r="I27" s="4"/>
      <c r="J27" s="4"/>
      <c r="K27" s="4"/>
      <c r="L27" s="4"/>
      <c r="M27" s="4"/>
      <c r="N27" s="4"/>
      <c r="O27" s="4"/>
      <c r="P27" s="4">
        <v>0.13</v>
      </c>
      <c r="Q27" s="4">
        <f>+Q6/M6-1</f>
        <v>0.14748912613681298</v>
      </c>
      <c r="R27" s="4">
        <f>+R6/N6-1</f>
        <v>7.5505140021268957E-2</v>
      </c>
      <c r="S27" s="4">
        <f>+S6/O6-1</f>
        <v>7.7498300475866699E-2</v>
      </c>
      <c r="Y27" s="13">
        <f>+Y6/X6-1</f>
        <v>0.14582631165037641</v>
      </c>
      <c r="Z27" s="13">
        <f>+Z6/Y6-1</f>
        <v>0.11305029904892638</v>
      </c>
      <c r="AA27" s="13"/>
      <c r="AB27" s="13"/>
      <c r="AC27" s="13"/>
      <c r="AD27" s="29"/>
      <c r="AN27" s="13"/>
    </row>
    <row r="28" spans="2:76" ht="14" customHeight="1" x14ac:dyDescent="0.15">
      <c r="B28" s="20" t="s">
        <v>90</v>
      </c>
      <c r="I28" s="4"/>
      <c r="J28" s="4"/>
      <c r="K28" s="4"/>
      <c r="L28" s="4"/>
      <c r="M28" s="4"/>
      <c r="N28" s="4"/>
      <c r="O28" s="4"/>
      <c r="P28" s="4">
        <v>0.22</v>
      </c>
      <c r="Q28" s="4">
        <f>+Q7/M7-1</f>
        <v>0.23163841807909602</v>
      </c>
      <c r="R28" s="4">
        <f>+R7/N7-1</f>
        <v>0.18693693693693691</v>
      </c>
      <c r="S28" s="4">
        <f>+S7/O7-1</f>
        <v>0.23464912280701755</v>
      </c>
      <c r="Y28" s="13">
        <f>+Y7/X7-1</f>
        <v>5.8963063368349777E-2</v>
      </c>
      <c r="Z28" s="13">
        <f>+Z7/Y7-1</f>
        <v>0.12000000000000011</v>
      </c>
      <c r="AA28" s="13"/>
      <c r="AB28" s="13"/>
      <c r="AC28" s="13"/>
      <c r="AD28" s="29"/>
      <c r="AN28" s="13"/>
    </row>
    <row r="29" spans="2:76" x14ac:dyDescent="0.15">
      <c r="B29" t="s">
        <v>9</v>
      </c>
      <c r="D29" s="4"/>
      <c r="E29" s="4"/>
      <c r="F29" s="4"/>
      <c r="G29" s="4"/>
      <c r="H29" s="4"/>
      <c r="I29" s="4"/>
      <c r="J29" s="4"/>
      <c r="K29" s="4"/>
      <c r="L29" s="4"/>
      <c r="M29" s="19">
        <f>+M10/M8</f>
        <v>0.24288944424610259</v>
      </c>
      <c r="N29" s="19">
        <f t="shared" ref="N29:O29" si="12">+N10/N8</f>
        <v>0.24931787175989087</v>
      </c>
      <c r="O29" s="19">
        <f t="shared" si="12"/>
        <v>0.25674077578051085</v>
      </c>
      <c r="P29" s="19"/>
      <c r="Q29" s="22">
        <f>+Q10/Q8</f>
        <v>0.26364081233178371</v>
      </c>
      <c r="R29" s="22">
        <f t="shared" ref="R29:T29" si="13">+R10/R8</f>
        <v>0.26391299317366657</v>
      </c>
      <c r="S29" s="22">
        <f t="shared" si="13"/>
        <v>0.25598172417939163</v>
      </c>
      <c r="T29" s="22">
        <f t="shared" si="13"/>
        <v>0.25600000000000001</v>
      </c>
      <c r="X29" s="15">
        <f>+X10/X8</f>
        <v>0.23935886019590383</v>
      </c>
      <c r="Y29" s="15">
        <f>Y10/Y8</f>
        <v>0.24215470424189051</v>
      </c>
      <c r="Z29" s="15">
        <f>Z10/Z8</f>
        <v>0.24746349187730926</v>
      </c>
      <c r="AA29" s="13">
        <f>AA10/AA8</f>
        <v>0</v>
      </c>
      <c r="AB29" s="13">
        <f>AB10/AB8</f>
        <v>0</v>
      </c>
      <c r="AC29" s="13">
        <f>AC10/AC8</f>
        <v>0</v>
      </c>
      <c r="AD29" s="29">
        <f>AD10/AD8</f>
        <v>0</v>
      </c>
    </row>
    <row r="30" spans="2:76" x14ac:dyDescent="0.15">
      <c r="B30" t="s">
        <v>71</v>
      </c>
      <c r="D30" s="4"/>
      <c r="E30" s="4"/>
      <c r="F30" s="4"/>
      <c r="G30" s="4"/>
      <c r="H30" s="4"/>
      <c r="I30" s="4"/>
      <c r="J30" s="4"/>
      <c r="K30" s="4"/>
      <c r="L30" s="4"/>
      <c r="M30" s="4">
        <f>+M15/M8</f>
        <v>9.5204093776032367E-2</v>
      </c>
      <c r="N30" s="4">
        <f t="shared" ref="N30:S30" si="14">+N15/N8</f>
        <v>0.10709413369713507</v>
      </c>
      <c r="O30" s="4">
        <f t="shared" si="14"/>
        <v>0.11246452223273415</v>
      </c>
      <c r="P30" s="4"/>
      <c r="Q30" s="4">
        <f t="shared" si="14"/>
        <v>0.1227061414240274</v>
      </c>
      <c r="R30" s="4">
        <f t="shared" si="14"/>
        <v>0.12819622816151799</v>
      </c>
      <c r="S30" s="4">
        <f t="shared" si="14"/>
        <v>8.9936275099194427E-2</v>
      </c>
      <c r="X30" s="13">
        <f>+X15/X8</f>
        <v>9.1932324131789853E-2</v>
      </c>
      <c r="Y30" s="13">
        <f>Y15/Y8</f>
        <v>3.619550858652576E-2</v>
      </c>
      <c r="Z30" s="13">
        <f>Z15/Z8</f>
        <v>9.8381326608410063E-2</v>
      </c>
      <c r="AA30" s="13">
        <f>AA15/AA8</f>
        <v>0.10625601159284262</v>
      </c>
      <c r="AB30" s="13">
        <f>AB15/AB8</f>
        <v>0.11</v>
      </c>
      <c r="AC30" s="13">
        <f>AC15/AC8</f>
        <v>0.11</v>
      </c>
      <c r="AD30" s="29">
        <f>AD15/AD8</f>
        <v>0.11999999999999998</v>
      </c>
      <c r="AE30" s="29">
        <f>AE15/AE8</f>
        <v>0.12</v>
      </c>
      <c r="AF30" s="29">
        <f t="shared" ref="AF30:AK30" si="15">AF15/AF8</f>
        <v>0.06</v>
      </c>
      <c r="AG30" s="29">
        <f t="shared" si="15"/>
        <v>0.11</v>
      </c>
      <c r="AH30" s="29">
        <f t="shared" si="15"/>
        <v>0.13</v>
      </c>
      <c r="AI30" s="29">
        <f t="shared" si="15"/>
        <v>0.13</v>
      </c>
      <c r="AJ30" s="29">
        <f t="shared" si="15"/>
        <v>0.13</v>
      </c>
      <c r="AK30" s="29">
        <f t="shared" si="15"/>
        <v>0.13</v>
      </c>
    </row>
    <row r="31" spans="2:76" x14ac:dyDescent="0.15">
      <c r="B31" s="20" t="s">
        <v>95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>
        <f>+Q14/M14-1</f>
        <v>-7.1716357775987061E-2</v>
      </c>
      <c r="R31" s="4">
        <f t="shared" ref="R31:S31" si="16">+R14/N14-1</f>
        <v>-6.2350119904076684E-2</v>
      </c>
      <c r="S31" s="4">
        <f t="shared" si="16"/>
        <v>0.13196721311475401</v>
      </c>
      <c r="Y31" s="13"/>
      <c r="Z31" s="13"/>
      <c r="AA31" s="13"/>
      <c r="AB31" s="13"/>
      <c r="AC31" s="13"/>
      <c r="AD31" s="29"/>
      <c r="AN31" s="16"/>
      <c r="AO31" s="18"/>
    </row>
    <row r="32" spans="2:76" x14ac:dyDescent="0.15">
      <c r="B32" t="s">
        <v>32</v>
      </c>
      <c r="K32" s="4"/>
      <c r="L32" s="4"/>
      <c r="M32" s="4"/>
      <c r="N32" s="4"/>
      <c r="O32" s="4"/>
      <c r="P32" s="4"/>
      <c r="Q32" s="13">
        <f>+Q20/M20-1</f>
        <v>-0.5808678500986193</v>
      </c>
      <c r="R32" s="13">
        <f>+R20/N20-1</f>
        <v>0.23404255319148937</v>
      </c>
      <c r="S32" s="13">
        <f>+S20/O20-1</f>
        <v>-0.33689205219454332</v>
      </c>
    </row>
    <row r="33" spans="2:36" x14ac:dyDescent="0.15">
      <c r="B33" t="s">
        <v>96</v>
      </c>
      <c r="K33" s="4"/>
      <c r="L33" s="4"/>
      <c r="M33" s="4">
        <f>+M19/M18</f>
        <v>8.6897793786582619E-2</v>
      </c>
      <c r="N33" s="4">
        <f t="shared" ref="N33:S33" si="17">+N19/N18</f>
        <v>0.23029682702149437</v>
      </c>
      <c r="O33" s="4">
        <f t="shared" si="17"/>
        <v>0.19175455417066156</v>
      </c>
      <c r="P33" s="4">
        <f t="shared" si="17"/>
        <v>0.32779456193353473</v>
      </c>
      <c r="Q33" s="4">
        <f t="shared" si="17"/>
        <v>0.23903312444046554</v>
      </c>
      <c r="R33" s="4">
        <f t="shared" si="17"/>
        <v>0.24244897959183673</v>
      </c>
      <c r="S33" s="4">
        <f t="shared" si="17"/>
        <v>0.32650602409638552</v>
      </c>
    </row>
    <row r="35" spans="2:36" x14ac:dyDescent="0.15">
      <c r="B35" t="s">
        <v>30</v>
      </c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2:36" s="2" customFormat="1" x14ac:dyDescent="0.15">
      <c r="B36" s="2" t="s">
        <v>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Z36" s="2">
        <v>656</v>
      </c>
      <c r="AA36" s="2">
        <v>429</v>
      </c>
      <c r="AD36" s="27"/>
      <c r="AE36" s="27"/>
      <c r="AI36"/>
      <c r="AJ36"/>
    </row>
    <row r="37" spans="2:36" s="2" customFormat="1" x14ac:dyDescent="0.15">
      <c r="B37" s="2" t="s">
        <v>14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AD37" s="27"/>
      <c r="AE37" s="27"/>
    </row>
    <row r="38" spans="2:36" s="2" customFormat="1" x14ac:dyDescent="0.15">
      <c r="B38" s="2" t="s">
        <v>15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AD38" s="27"/>
      <c r="AE38" s="27"/>
    </row>
    <row r="39" spans="2:36" s="2" customFormat="1" x14ac:dyDescent="0.15">
      <c r="B39" s="2" t="s">
        <v>16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AD39" s="27"/>
      <c r="AE39" s="27"/>
    </row>
    <row r="40" spans="2:36" s="2" customFormat="1" x14ac:dyDescent="0.15">
      <c r="B40" s="2" t="s">
        <v>17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AD40" s="27"/>
      <c r="AE40" s="27"/>
    </row>
    <row r="41" spans="2:36" s="2" customFormat="1" x14ac:dyDescent="0.15">
      <c r="B41" s="2" t="s">
        <v>18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AD41" s="27"/>
      <c r="AE41" s="27"/>
    </row>
    <row r="42" spans="2:36" s="2" customFormat="1" x14ac:dyDescent="0.15">
      <c r="B42" s="2" t="s">
        <v>19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AD42" s="27"/>
      <c r="AE42" s="27"/>
    </row>
    <row r="43" spans="2:36" s="2" customFormat="1" x14ac:dyDescent="0.15">
      <c r="B43" s="2" t="s">
        <v>22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AD43" s="27"/>
      <c r="AE43" s="27"/>
    </row>
    <row r="44" spans="2:36" s="2" customFormat="1" x14ac:dyDescent="0.15">
      <c r="B44" s="2" t="s">
        <v>21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AD44" s="27"/>
      <c r="AE44" s="27"/>
    </row>
    <row r="45" spans="2:36" s="2" customFormat="1" x14ac:dyDescent="0.15">
      <c r="B45" s="2" t="s">
        <v>20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AD45" s="27"/>
      <c r="AE45" s="27"/>
    </row>
    <row r="46" spans="2:36" s="2" customFormat="1" x14ac:dyDescent="0.15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AD46" s="27"/>
      <c r="AE46" s="27"/>
    </row>
    <row r="47" spans="2:36" s="2" customFormat="1" x14ac:dyDescent="0.15">
      <c r="B47" s="2" t="s">
        <v>23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AD47" s="27"/>
      <c r="AE47" s="27"/>
    </row>
    <row r="48" spans="2:36" s="2" customFormat="1" x14ac:dyDescent="0.15">
      <c r="B48" s="2" t="s">
        <v>24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AD48" s="27"/>
      <c r="AE48" s="27"/>
    </row>
    <row r="49" spans="2:31" s="2" customFormat="1" x14ac:dyDescent="0.15">
      <c r="B49" s="2" t="s">
        <v>16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AD49" s="27"/>
      <c r="AE49" s="27"/>
    </row>
    <row r="50" spans="2:31" s="2" customFormat="1" x14ac:dyDescent="0.15">
      <c r="B50" s="2" t="s">
        <v>25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AD50" s="27"/>
      <c r="AE50" s="27"/>
    </row>
    <row r="51" spans="2:31" s="2" customFormat="1" x14ac:dyDescent="0.15">
      <c r="B51" s="2" t="s">
        <v>17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AD51" s="27"/>
      <c r="AE51" s="27"/>
    </row>
    <row r="52" spans="2:31" s="2" customFormat="1" x14ac:dyDescent="0.15">
      <c r="B52" s="2" t="s">
        <v>26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AD52" s="27"/>
      <c r="AE52" s="27"/>
    </row>
    <row r="53" spans="2:31" s="2" customFormat="1" x14ac:dyDescent="0.15">
      <c r="B53" s="2" t="s">
        <v>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AD53" s="27"/>
      <c r="AE53" s="27"/>
    </row>
    <row r="54" spans="2:31" s="2" customFormat="1" x14ac:dyDescent="0.15">
      <c r="B54" s="2" t="s">
        <v>12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AD54" s="27"/>
      <c r="AE54" s="27"/>
    </row>
    <row r="55" spans="2:31" s="2" customFormat="1" x14ac:dyDescent="0.15">
      <c r="B55" s="2" t="s">
        <v>29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AD55" s="27"/>
      <c r="AE55" s="27"/>
    </row>
    <row r="56" spans="2:31" s="2" customFormat="1" x14ac:dyDescent="0.15">
      <c r="B56" s="2" t="s">
        <v>28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AD56" s="27"/>
      <c r="AE56" s="27"/>
    </row>
    <row r="57" spans="2:31" s="2" customFormat="1" x14ac:dyDescent="0.15">
      <c r="B57" s="2" t="s">
        <v>27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AD57" s="27"/>
      <c r="AE57" s="27"/>
    </row>
    <row r="59" spans="2:31" s="2" customFormat="1" x14ac:dyDescent="0.15">
      <c r="B59" s="2" t="s">
        <v>33</v>
      </c>
      <c r="C59" s="5"/>
      <c r="D59" s="5"/>
      <c r="E59" s="5"/>
      <c r="F59" s="5"/>
      <c r="AD59" s="27"/>
      <c r="AE59" s="27"/>
    </row>
    <row r="60" spans="2:31" s="2" customFormat="1" x14ac:dyDescent="0.15">
      <c r="B60" s="2" t="s">
        <v>64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AD60" s="27"/>
      <c r="AE60" s="27"/>
    </row>
    <row r="61" spans="2:31" s="2" customFormat="1" x14ac:dyDescent="0.15">
      <c r="B61" s="2" t="s">
        <v>59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AD61" s="27"/>
      <c r="AE61" s="27"/>
    </row>
    <row r="62" spans="2:31" s="2" customFormat="1" x14ac:dyDescent="0.15">
      <c r="B62" s="2" t="s">
        <v>60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AD62" s="27"/>
      <c r="AE62" s="27"/>
    </row>
    <row r="63" spans="2:31" s="2" customFormat="1" x14ac:dyDescent="0.15">
      <c r="B63" s="2" t="s">
        <v>22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AD63" s="27"/>
      <c r="AE63" s="27"/>
    </row>
    <row r="64" spans="2:31" s="2" customFormat="1" x14ac:dyDescent="0.15">
      <c r="B64" s="2" t="s">
        <v>36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AD64" s="27"/>
      <c r="AE64" s="27"/>
    </row>
    <row r="65" spans="2:31" s="2" customFormat="1" x14ac:dyDescent="0.15">
      <c r="B65" s="2" t="s">
        <v>61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AD65" s="27"/>
      <c r="AE65" s="27"/>
    </row>
    <row r="66" spans="2:31" s="2" customFormat="1" x14ac:dyDescent="0.15">
      <c r="B66" s="2" t="s">
        <v>37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AD66" s="27"/>
      <c r="AE66" s="27"/>
    </row>
    <row r="67" spans="2:31" s="2" customFormat="1" x14ac:dyDescent="0.15">
      <c r="B67" s="2" t="s">
        <v>62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AD67" s="27"/>
      <c r="AE67" s="27"/>
    </row>
    <row r="68" spans="2:31" s="2" customFormat="1" x14ac:dyDescent="0.15">
      <c r="B68" s="2" t="s">
        <v>63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AD68" s="27"/>
      <c r="AE68" s="27"/>
    </row>
    <row r="69" spans="2:31" s="2" customFormat="1" x14ac:dyDescent="0.15">
      <c r="B69" s="2" t="s">
        <v>35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AD69" s="27"/>
      <c r="AE69" s="27"/>
    </row>
    <row r="70" spans="2:31" s="2" customFormat="1" x14ac:dyDescent="0.15">
      <c r="B70" s="2" t="s">
        <v>34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AD70" s="27"/>
      <c r="AE70" s="27"/>
    </row>
    <row r="71" spans="2:31" s="2" customFormat="1" x14ac:dyDescent="0.15">
      <c r="B71" s="2" t="s">
        <v>67</v>
      </c>
      <c r="C71" s="5"/>
      <c r="D71" s="5"/>
      <c r="E71" s="5"/>
      <c r="F71" s="5"/>
      <c r="AD71" s="27"/>
      <c r="AE71" s="27"/>
    </row>
    <row r="72" spans="2:31" s="2" customFormat="1" x14ac:dyDescent="0.15">
      <c r="B72" s="2" t="s">
        <v>65</v>
      </c>
      <c r="C72" s="5"/>
      <c r="D72" s="5"/>
      <c r="E72" s="5"/>
      <c r="F72" s="5"/>
      <c r="AD72" s="27"/>
      <c r="AE72" s="27"/>
    </row>
    <row r="73" spans="2:31" x14ac:dyDescent="0.15">
      <c r="B73" s="2" t="s">
        <v>66</v>
      </c>
      <c r="K73" s="4"/>
      <c r="L73" s="4"/>
      <c r="M73" s="4"/>
      <c r="N73" s="4"/>
      <c r="O73" s="4"/>
      <c r="P73" s="4"/>
      <c r="Y73" s="2"/>
      <c r="Z73" s="2"/>
      <c r="AA73" s="2"/>
    </row>
    <row r="74" spans="2:31" x14ac:dyDescent="0.15">
      <c r="K74" s="4"/>
      <c r="L74" s="4"/>
      <c r="M74" s="4"/>
      <c r="N74" s="4"/>
      <c r="O74" s="4"/>
      <c r="P74" s="4"/>
    </row>
    <row r="75" spans="2:31" s="2" customFormat="1" x14ac:dyDescent="0.15">
      <c r="B75" s="2" t="s">
        <v>39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AD75" s="27"/>
      <c r="AE75" s="27"/>
    </row>
    <row r="76" spans="2:31" s="2" customFormat="1" x14ac:dyDescent="0.15">
      <c r="B76" s="2" t="s">
        <v>40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AD76" s="27"/>
      <c r="AE76" s="27"/>
    </row>
    <row r="77" spans="2:31" s="2" customFormat="1" x14ac:dyDescent="0.15">
      <c r="B77" s="2" t="s">
        <v>41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AD77" s="27"/>
      <c r="AE77" s="27"/>
    </row>
    <row r="78" spans="2:31" s="2" customFormat="1" x14ac:dyDescent="0.15">
      <c r="B78" s="2" t="s">
        <v>21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AD78" s="27"/>
      <c r="AE78" s="27"/>
    </row>
    <row r="79" spans="2:31" s="2" customFormat="1" x14ac:dyDescent="0.15">
      <c r="B79" s="2" t="s">
        <v>38</v>
      </c>
      <c r="C79" s="5"/>
      <c r="D79" s="5"/>
      <c r="E79" s="5"/>
      <c r="F79" s="5"/>
      <c r="AD79" s="27"/>
      <c r="AE79" s="27"/>
    </row>
    <row r="80" spans="2:31" s="2" customFormat="1" x14ac:dyDescent="0.15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AD80" s="27"/>
      <c r="AE80" s="27"/>
    </row>
    <row r="81" spans="2:31" s="2" customFormat="1" x14ac:dyDescent="0.15">
      <c r="B81" s="2" t="s">
        <v>45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AD81" s="27"/>
      <c r="AE81" s="27"/>
    </row>
    <row r="82" spans="2:31" s="2" customFormat="1" x14ac:dyDescent="0.15">
      <c r="B82" s="2" t="s">
        <v>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AD82" s="27"/>
      <c r="AE82" s="27"/>
    </row>
    <row r="83" spans="2:31" s="2" customFormat="1" x14ac:dyDescent="0.15">
      <c r="B83" s="2" t="s">
        <v>46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AD83" s="27"/>
      <c r="AE83" s="27"/>
    </row>
    <row r="84" spans="2:31" s="2" customFormat="1" x14ac:dyDescent="0.15">
      <c r="B84" s="2" t="s">
        <v>47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AD84" s="27"/>
      <c r="AE84" s="27"/>
    </row>
    <row r="85" spans="2:31" s="2" customFormat="1" x14ac:dyDescent="0.15">
      <c r="B85" s="2" t="s">
        <v>21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AD85" s="27"/>
      <c r="AE85" s="27"/>
    </row>
    <row r="86" spans="2:31" s="2" customFormat="1" x14ac:dyDescent="0.15">
      <c r="B86" s="2" t="s">
        <v>44</v>
      </c>
      <c r="C86" s="5"/>
      <c r="D86" s="5"/>
      <c r="E86" s="5"/>
      <c r="F86" s="5"/>
      <c r="AD86" s="27"/>
      <c r="AE86" s="27"/>
    </row>
    <row r="87" spans="2:31" s="2" customFormat="1" x14ac:dyDescent="0.15">
      <c r="B87" s="2" t="s">
        <v>43</v>
      </c>
      <c r="C87" s="5"/>
      <c r="D87" s="5"/>
      <c r="E87" s="5"/>
      <c r="F87" s="5"/>
      <c r="H87" s="5"/>
      <c r="I87" s="5"/>
      <c r="J87" s="5"/>
      <c r="L87" s="5"/>
      <c r="M87" s="5"/>
      <c r="N87" s="5"/>
      <c r="AD87" s="27"/>
      <c r="AE87" s="27"/>
    </row>
    <row r="88" spans="2:31" s="2" customFormat="1" x14ac:dyDescent="0.15">
      <c r="B88" s="2" t="s">
        <v>42</v>
      </c>
      <c r="C88" s="5"/>
      <c r="D88" s="5"/>
      <c r="E88" s="5"/>
      <c r="F88" s="5"/>
      <c r="AD88" s="27"/>
      <c r="AE88" s="27"/>
    </row>
    <row r="90" spans="2:31" x14ac:dyDescent="0.15">
      <c r="B90" s="2" t="s">
        <v>53</v>
      </c>
      <c r="G90" s="5"/>
      <c r="H90" s="5"/>
      <c r="I90" s="5"/>
      <c r="J90" s="5"/>
      <c r="K90" s="5"/>
      <c r="L90" s="5"/>
      <c r="M90" s="5"/>
      <c r="N90" s="5"/>
      <c r="O90" s="5"/>
      <c r="P90" s="5"/>
      <c r="Y90" s="2">
        <f>Y71+Y75</f>
        <v>0</v>
      </c>
      <c r="Z90" s="2">
        <f t="shared" ref="Z90:AA90" si="18">Z71+Z75</f>
        <v>0</v>
      </c>
      <c r="AA90" s="2">
        <f t="shared" si="18"/>
        <v>0</v>
      </c>
    </row>
    <row r="91" spans="2:31" x14ac:dyDescent="0.15">
      <c r="J91" s="2">
        <f t="shared" ref="J91:N91" si="19">SUM(G90:J90)</f>
        <v>0</v>
      </c>
      <c r="K91" s="2">
        <f t="shared" si="19"/>
        <v>0</v>
      </c>
      <c r="L91" s="2">
        <f t="shared" si="19"/>
        <v>0</v>
      </c>
      <c r="M91" s="2">
        <f t="shared" si="19"/>
        <v>0</v>
      </c>
      <c r="N91" s="2">
        <f t="shared" si="19"/>
        <v>0</v>
      </c>
      <c r="O91" s="2">
        <f>SUM(L90:O90)</f>
        <v>0</v>
      </c>
      <c r="P91" s="2">
        <f>SUM(M90:P90)</f>
        <v>0</v>
      </c>
    </row>
    <row r="92" spans="2:31" x14ac:dyDescent="0.15">
      <c r="B92" s="2" t="s">
        <v>55</v>
      </c>
      <c r="G92" s="5">
        <f t="shared" ref="G92:P92" si="20">G72+G75</f>
        <v>0</v>
      </c>
      <c r="H92" s="5">
        <f t="shared" si="20"/>
        <v>0</v>
      </c>
      <c r="I92" s="5">
        <f t="shared" si="20"/>
        <v>0</v>
      </c>
      <c r="J92" s="5">
        <f t="shared" si="20"/>
        <v>0</v>
      </c>
      <c r="K92" s="5">
        <f t="shared" si="20"/>
        <v>0</v>
      </c>
      <c r="L92" s="5">
        <f t="shared" si="20"/>
        <v>0</v>
      </c>
      <c r="M92" s="5">
        <f t="shared" si="20"/>
        <v>0</v>
      </c>
      <c r="N92" s="5">
        <f t="shared" si="20"/>
        <v>0</v>
      </c>
      <c r="O92" s="5">
        <f t="shared" si="20"/>
        <v>0</v>
      </c>
      <c r="P92" s="5">
        <f t="shared" si="20"/>
        <v>0</v>
      </c>
      <c r="Q92" s="5">
        <f>0.65*Q8</f>
        <v>5313.1</v>
      </c>
      <c r="R92" s="5"/>
      <c r="S92" s="5"/>
      <c r="T92" s="5"/>
      <c r="U92" s="5"/>
      <c r="Y92" s="2">
        <f>Y73+Y75</f>
        <v>0</v>
      </c>
      <c r="Z92" s="2">
        <f>Z73+Z75</f>
        <v>0</v>
      </c>
      <c r="AA92" s="2">
        <f>AA73+AA75</f>
        <v>0</v>
      </c>
    </row>
    <row r="93" spans="2:31" x14ac:dyDescent="0.15">
      <c r="B93" t="s">
        <v>56</v>
      </c>
      <c r="J93" s="13"/>
      <c r="K93" s="13" t="e">
        <f>K92/G92-1</f>
        <v>#DIV/0!</v>
      </c>
      <c r="L93" s="13" t="e">
        <f t="shared" ref="L93:O93" si="21">L92/H92-1</f>
        <v>#DIV/0!</v>
      </c>
      <c r="M93" s="13" t="e">
        <f t="shared" si="21"/>
        <v>#DIV/0!</v>
      </c>
      <c r="N93" s="13" t="e">
        <f t="shared" si="21"/>
        <v>#DIV/0!</v>
      </c>
      <c r="O93" s="13" t="e">
        <f t="shared" si="21"/>
        <v>#DIV/0!</v>
      </c>
      <c r="P93" s="13" t="e">
        <f>P92/L92-1</f>
        <v>#DIV/0!</v>
      </c>
      <c r="Q93" s="13" t="e">
        <f>Q92/M92-1</f>
        <v>#DIV/0!</v>
      </c>
      <c r="R93" s="13"/>
      <c r="S93" s="13"/>
      <c r="T93" s="13"/>
      <c r="U93" s="13"/>
      <c r="V93" s="13"/>
    </row>
    <row r="94" spans="2:31" x14ac:dyDescent="0.15">
      <c r="J94" s="5">
        <f>SUM(G92:J92)</f>
        <v>0</v>
      </c>
      <c r="K94" s="5">
        <f t="shared" ref="K94:Q94" si="22">SUM(H92:K92)</f>
        <v>0</v>
      </c>
      <c r="L94" s="5">
        <f t="shared" si="22"/>
        <v>0</v>
      </c>
      <c r="M94" s="5">
        <f t="shared" si="22"/>
        <v>0</v>
      </c>
      <c r="N94" s="5">
        <f t="shared" si="22"/>
        <v>0</v>
      </c>
      <c r="O94" s="5">
        <f t="shared" si="22"/>
        <v>0</v>
      </c>
      <c r="P94" s="5">
        <f t="shared" si="22"/>
        <v>0</v>
      </c>
      <c r="Q94" s="5">
        <f t="shared" si="22"/>
        <v>5313.1</v>
      </c>
      <c r="R94" s="5"/>
      <c r="S94" s="5"/>
      <c r="T94" s="5"/>
      <c r="U94" s="5"/>
    </row>
    <row r="96" spans="2:31" x14ac:dyDescent="0.15">
      <c r="G96" s="4" t="e">
        <f>G92/G8</f>
        <v>#DIV/0!</v>
      </c>
      <c r="H96" s="4" t="e">
        <f>H92/H8</f>
        <v>#DIV/0!</v>
      </c>
      <c r="I96" s="4" t="e">
        <f>I92/I8</f>
        <v>#DIV/0!</v>
      </c>
      <c r="J96" s="4" t="e">
        <f>J92/J8</f>
        <v>#DIV/0!</v>
      </c>
      <c r="K96" s="4" t="e">
        <f>K92/K8</f>
        <v>#DIV/0!</v>
      </c>
      <c r="L96" s="4">
        <f>L92/P8</f>
        <v>0</v>
      </c>
      <c r="M96" s="4">
        <f>M92/M8</f>
        <v>0</v>
      </c>
      <c r="N96" s="4">
        <f>N92/N8</f>
        <v>0</v>
      </c>
      <c r="O96" s="4">
        <f>O92/O8</f>
        <v>0</v>
      </c>
      <c r="P96" s="4" t="e">
        <f>P92/#REF!</f>
        <v>#REF!</v>
      </c>
    </row>
    <row r="97" spans="11:16" x14ac:dyDescent="0.15">
      <c r="K97" s="4"/>
      <c r="L97" s="4"/>
      <c r="M97" s="4"/>
      <c r="N97" s="4"/>
      <c r="O97" s="4"/>
      <c r="P97" s="4"/>
    </row>
    <row r="98" spans="11:16" x14ac:dyDescent="0.15">
      <c r="K98" s="4"/>
    </row>
    <row r="99" spans="11:16" x14ac:dyDescent="0.15">
      <c r="O99" s="13"/>
    </row>
  </sheetData>
  <hyperlinks>
    <hyperlink ref="A1" location="Main!A1" display="Main" xr:uid="{3524F6D3-CE33-47D0-957C-080365F2BEF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Zhuping Liu</cp:lastModifiedBy>
  <dcterms:created xsi:type="dcterms:W3CDTF">2024-10-10T19:55:58Z</dcterms:created>
  <dcterms:modified xsi:type="dcterms:W3CDTF">2025-11-07T16:46:04Z</dcterms:modified>
</cp:coreProperties>
</file>