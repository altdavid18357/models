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liu/models/"/>
    </mc:Choice>
  </mc:AlternateContent>
  <xr:revisionPtr revIDLastSave="0" documentId="13_ncr:1_{6314AAA5-7859-644D-A214-F701572BBBD6}" xr6:coauthVersionLast="47" xr6:coauthVersionMax="47" xr10:uidLastSave="{00000000-0000-0000-0000-000000000000}"/>
  <bookViews>
    <workbookView xWindow="0" yWindow="500" windowWidth="30980" windowHeight="18760" activeTab="1" xr2:uid="{EE8B3822-E719-4D05-9A2E-4276183ED723}"/>
  </bookViews>
  <sheets>
    <sheet name="Main" sheetId="1" r:id="rId1"/>
    <sheet name="Model" sheetId="2" r:id="rId2"/>
    <sheet name="Grap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6" i="2" l="1"/>
  <c r="AS6" i="2" s="1"/>
  <c r="AT6" i="2" s="1"/>
  <c r="AN6" i="2"/>
  <c r="AO6" i="2"/>
  <c r="AP6" i="2" s="1"/>
  <c r="AQ6" i="2" s="1"/>
  <c r="AN22" i="2"/>
  <c r="AM18" i="2"/>
  <c r="AM17" i="2"/>
  <c r="AJ26" i="2"/>
  <c r="AK26" i="2"/>
  <c r="AL26" i="2"/>
  <c r="AI26" i="2"/>
  <c r="Y26" i="2"/>
  <c r="U26" i="2"/>
  <c r="AM14" i="2"/>
  <c r="AM15" i="2" s="1"/>
  <c r="AM25" i="2" s="1"/>
  <c r="AM13" i="2"/>
  <c r="AN13" i="2" s="1"/>
  <c r="AO13" i="2" s="1"/>
  <c r="AP13" i="2" s="1"/>
  <c r="AQ13" i="2" s="1"/>
  <c r="AR13" i="2" s="1"/>
  <c r="AS13" i="2" s="1"/>
  <c r="AT13" i="2" s="1"/>
  <c r="AU13" i="2" s="1"/>
  <c r="AV13" i="2" s="1"/>
  <c r="AW13" i="2" s="1"/>
  <c r="AM12" i="2"/>
  <c r="AM24" i="2" s="1"/>
  <c r="AM6" i="2"/>
  <c r="AM22" i="2" s="1"/>
  <c r="AJ22" i="2"/>
  <c r="AK22" i="2"/>
  <c r="AL22" i="2"/>
  <c r="AI22" i="2"/>
  <c r="AI10" i="2"/>
  <c r="AI11" i="2" s="1"/>
  <c r="AI8" i="2"/>
  <c r="AJ10" i="2"/>
  <c r="AJ11" i="2" s="1"/>
  <c r="AJ8" i="2"/>
  <c r="AK10" i="2"/>
  <c r="AK11" i="2" s="1"/>
  <c r="AK8" i="2"/>
  <c r="AL10" i="2"/>
  <c r="AL11" i="2"/>
  <c r="AL8" i="2"/>
  <c r="V22" i="2"/>
  <c r="W22" i="2"/>
  <c r="X22" i="2"/>
  <c r="Y22" i="2"/>
  <c r="U22" i="2"/>
  <c r="U10" i="2"/>
  <c r="U11" i="2" s="1"/>
  <c r="U8" i="2"/>
  <c r="Y10" i="2"/>
  <c r="Y11" i="2" s="1"/>
  <c r="AH36" i="2"/>
  <c r="AG36" i="2"/>
  <c r="AU6" i="2" l="1"/>
  <c r="AV6" i="2" s="1"/>
  <c r="AW6" i="2" s="1"/>
  <c r="AW22" i="2" s="1"/>
  <c r="AP22" i="2"/>
  <c r="AT22" i="2"/>
  <c r="AR22" i="2"/>
  <c r="AS22" i="2"/>
  <c r="AO22" i="2"/>
  <c r="AV22" i="2"/>
  <c r="AQ22" i="2"/>
  <c r="AU22" i="2"/>
  <c r="AM16" i="2"/>
  <c r="AI12" i="2"/>
  <c r="AJ12" i="2"/>
  <c r="AK12" i="2"/>
  <c r="AL12" i="2"/>
  <c r="U12" i="2"/>
  <c r="Y8" i="2"/>
  <c r="Y12" i="2" s="1"/>
  <c r="Y23" i="2"/>
  <c r="L4" i="1"/>
  <c r="U14" i="2" l="1"/>
  <c r="U16" i="2" s="1"/>
  <c r="U18" i="2" s="1"/>
  <c r="U19" i="2" s="1"/>
  <c r="U24" i="2"/>
  <c r="AL14" i="2"/>
  <c r="AL24" i="2"/>
  <c r="AK14" i="2"/>
  <c r="AK24" i="2"/>
  <c r="AJ14" i="2"/>
  <c r="AJ24" i="2"/>
  <c r="AI14" i="2"/>
  <c r="AI16" i="2" s="1"/>
  <c r="AI18" i="2" s="1"/>
  <c r="AI24" i="2"/>
  <c r="AN12" i="2"/>
  <c r="AN14" i="2" s="1"/>
  <c r="AI36" i="2"/>
  <c r="L7" i="1"/>
  <c r="AK16" i="2" l="1"/>
  <c r="AK25" i="2"/>
  <c r="AL16" i="2"/>
  <c r="AL25" i="2"/>
  <c r="AJ16" i="2"/>
  <c r="AJ25" i="2"/>
  <c r="AN15" i="2"/>
  <c r="AN16" i="2" s="1"/>
  <c r="AO12" i="2"/>
  <c r="AO14" i="2" s="1"/>
  <c r="Y14" i="2"/>
  <c r="Y24" i="2" s="1"/>
  <c r="AX35" i="2"/>
  <c r="AY35" i="2" s="1"/>
  <c r="AZ35" i="2" s="1"/>
  <c r="BA35" i="2" s="1"/>
  <c r="BB35" i="2" s="1"/>
  <c r="BC35" i="2" s="1"/>
  <c r="BD35" i="2" s="1"/>
  <c r="BE35" i="2" s="1"/>
  <c r="BF35" i="2" s="1"/>
  <c r="BG35" i="2" s="1"/>
  <c r="BH35" i="2" s="1"/>
  <c r="BI35" i="2" s="1"/>
  <c r="BJ35" i="2" s="1"/>
  <c r="BK35" i="2" s="1"/>
  <c r="BL35" i="2" s="1"/>
  <c r="BM35" i="2" s="1"/>
  <c r="BN35" i="2" s="1"/>
  <c r="BO35" i="2" s="1"/>
  <c r="BP35" i="2" s="1"/>
  <c r="BQ35" i="2" s="1"/>
  <c r="BR35" i="2" s="1"/>
  <c r="BS35" i="2" s="1"/>
  <c r="BT35" i="2" s="1"/>
  <c r="BU35" i="2" s="1"/>
  <c r="BV35" i="2" s="1"/>
  <c r="BW35" i="2" s="1"/>
  <c r="BX35" i="2" s="1"/>
  <c r="BY35" i="2" s="1"/>
  <c r="BZ35" i="2" s="1"/>
  <c r="CA35" i="2" s="1"/>
  <c r="CB35" i="2" s="1"/>
  <c r="CC35" i="2" s="1"/>
  <c r="CD35" i="2" s="1"/>
  <c r="AS41" i="2" s="1"/>
  <c r="AS42" i="2" s="1"/>
  <c r="AN17" i="2" l="1"/>
  <c r="AN18" i="2" s="1"/>
  <c r="AJ18" i="2"/>
  <c r="AJ36" i="2"/>
  <c r="AL36" i="2"/>
  <c r="AL18" i="2"/>
  <c r="AO15" i="2"/>
  <c r="AO16" i="2" s="1"/>
  <c r="AP12" i="2"/>
  <c r="AP14" i="2" s="1"/>
  <c r="AK18" i="2"/>
  <c r="AK36" i="2"/>
  <c r="Y16" i="2"/>
  <c r="Y18" i="2" s="1"/>
  <c r="Y19" i="2" s="1"/>
  <c r="AO17" i="2" l="1"/>
  <c r="AO18" i="2"/>
  <c r="AP15" i="2"/>
  <c r="AP16" i="2"/>
  <c r="AQ12" i="2"/>
  <c r="AQ14" i="2" s="1"/>
  <c r="AP17" i="2" l="1"/>
  <c r="AP18" i="2" s="1"/>
  <c r="AQ15" i="2"/>
  <c r="AQ16" i="2" s="1"/>
  <c r="AR12" i="2"/>
  <c r="AR14" i="2" s="1"/>
  <c r="AQ17" i="2" l="1"/>
  <c r="AQ18" i="2" s="1"/>
  <c r="AR15" i="2"/>
  <c r="AR16" i="2" s="1"/>
  <c r="AS12" i="2"/>
  <c r="AS14" i="2" s="1"/>
  <c r="AR17" i="2" l="1"/>
  <c r="AR18" i="2" s="1"/>
  <c r="AS15" i="2"/>
  <c r="AS16" i="2" s="1"/>
  <c r="AT12" i="2"/>
  <c r="AT14" i="2" s="1"/>
  <c r="AS17" i="2" l="1"/>
  <c r="AS18" i="2" s="1"/>
  <c r="AT15" i="2"/>
  <c r="AT16" i="2" s="1"/>
  <c r="AU12" i="2"/>
  <c r="AU14" i="2" s="1"/>
  <c r="AT17" i="2" l="1"/>
  <c r="AT18" i="2" s="1"/>
  <c r="AU15" i="2"/>
  <c r="AU16" i="2" s="1"/>
  <c r="AW12" i="2"/>
  <c r="AW14" i="2" s="1"/>
  <c r="AV12" i="2"/>
  <c r="AV14" i="2" s="1"/>
  <c r="AU17" i="2" l="1"/>
  <c r="AU18" i="2" s="1"/>
  <c r="AV15" i="2"/>
  <c r="AV16" i="2" s="1"/>
  <c r="AW15" i="2"/>
  <c r="AW16" i="2" s="1"/>
  <c r="AZ29" i="2" l="1"/>
  <c r="AZ31" i="2" s="1"/>
  <c r="AW17" i="2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AV17" i="2"/>
  <c r="AV18" i="2" s="1"/>
  <c r="AZ3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tc={6BBDE8D0-FA0E-BD4A-A1F1-D5F0F327E5DC}</author>
  </authors>
  <commentList>
    <comment ref="V22" authorId="0" shapeId="0" xr:uid="{6BBDE8D0-FA0E-BD4A-A1F1-D5F0F327E5DC}">
      <text>
        <t>[Threaded comment]
Your version of Excel allows you to read this threaded comment; however, any edits to it will get removed if the file is opened in a newer version of Excel. Learn more: https://go.microsoft.com/fwlink/?linkid=870924
Comment:
    acquisition</t>
      </text>
    </comment>
  </commentList>
</comments>
</file>

<file path=xl/sharedStrings.xml><?xml version="1.0" encoding="utf-8"?>
<sst xmlns="http://schemas.openxmlformats.org/spreadsheetml/2006/main" count="68" uniqueCount="59">
  <si>
    <t>Price</t>
  </si>
  <si>
    <t>Shares</t>
  </si>
  <si>
    <t>MC</t>
  </si>
  <si>
    <t>Cash</t>
  </si>
  <si>
    <t>Debt</t>
  </si>
  <si>
    <t>EV</t>
  </si>
  <si>
    <t>Main</t>
  </si>
  <si>
    <t>NIC</t>
  </si>
  <si>
    <t>Q424</t>
  </si>
  <si>
    <t>Revenue</t>
  </si>
  <si>
    <t>Pretax Income</t>
  </si>
  <si>
    <t>Interest</t>
  </si>
  <si>
    <t>Taxes</t>
  </si>
  <si>
    <t>Net Income</t>
  </si>
  <si>
    <t>EPS</t>
  </si>
  <si>
    <t>Yield</t>
  </si>
  <si>
    <t>Net Cash</t>
  </si>
  <si>
    <t>Revenue y/y</t>
  </si>
  <si>
    <t>FCF</t>
  </si>
  <si>
    <t>Q225</t>
  </si>
  <si>
    <t>Q125</t>
  </si>
  <si>
    <t>Q324</t>
  </si>
  <si>
    <t>Q224</t>
  </si>
  <si>
    <t>Q124</t>
  </si>
  <si>
    <t>Tax Rate</t>
  </si>
  <si>
    <t>Terminal</t>
  </si>
  <si>
    <t>Discount</t>
  </si>
  <si>
    <t>NPV</t>
  </si>
  <si>
    <t>Upside</t>
  </si>
  <si>
    <t>Q423</t>
  </si>
  <si>
    <t>Q323</t>
  </si>
  <si>
    <t>Q223</t>
  </si>
  <si>
    <t>Q123</t>
  </si>
  <si>
    <t>Q422</t>
  </si>
  <si>
    <t>Q322</t>
  </si>
  <si>
    <t>Q222</t>
  </si>
  <si>
    <t>Q122</t>
  </si>
  <si>
    <t>Q121</t>
  </si>
  <si>
    <t>Q221</t>
  </si>
  <si>
    <t>Q321</t>
  </si>
  <si>
    <t>Q421</t>
  </si>
  <si>
    <t>Q120</t>
  </si>
  <si>
    <t>Q220</t>
  </si>
  <si>
    <t>Q320</t>
  </si>
  <si>
    <t>Q420</t>
  </si>
  <si>
    <t>Retained Earnings</t>
  </si>
  <si>
    <t>Investment Loss</t>
  </si>
  <si>
    <t>Operating Expense</t>
  </si>
  <si>
    <t>Stoch</t>
  </si>
  <si>
    <t>Operating Margin</t>
  </si>
  <si>
    <t>COGS</t>
  </si>
  <si>
    <t>Gross Profit</t>
  </si>
  <si>
    <t>Acquisitions</t>
  </si>
  <si>
    <t>SG&amp;A</t>
  </si>
  <si>
    <t>OpInc</t>
  </si>
  <si>
    <t>Share Price</t>
  </si>
  <si>
    <t>Non-controlling</t>
  </si>
  <si>
    <t>Real Net Income</t>
  </si>
  <si>
    <t>Net Premiums 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</si>
</sst>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2">
    <xf numFmtId="0" fontId="0" fillId="0" borderId="0" xfId="0"/>
    <xf numFmtId="4" fontId="0" fillId="0" borderId="0" xfId="0" applyNumberFormat="1"/>
    <xf numFmtId="3" fontId="0" fillId="0" borderId="0" xfId="0" applyNumberFormat="1"/>
    <xf numFmtId="9" fontId="0" fillId="0" borderId="0" xfId="0" applyNumberFormat="1"/>
    <xf numFmtId="3" fontId="1" fillId="0" borderId="0" xfId="0" applyNumberFormat="1" applyFont="1"/>
    <xf numFmtId="0" fontId="0" fillId="0" borderId="0" xfId="0" applyAlignment="1">
      <alignment horizontal="right"/>
    </xf>
    <xf numFmtId="164" fontId="0" fillId="0" borderId="0" xfId="0" applyNumberFormat="1"/>
    <xf numFmtId="10" fontId="0" fillId="0" borderId="0" xfId="0" applyNumberFormat="1"/>
    <xf numFmtId="8" fontId="0" fillId="0" borderId="0" xfId="0" applyNumberFormat="1"/>
    <xf numFmtId="14" fontId="0" fillId="0" borderId="0" xfId="0" applyNumberFormat="1"/>
    <xf numFmtId="17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Model!$G$2:$Y$2</c:f>
              <c:strCache>
                <c:ptCount val="19"/>
                <c:pt idx="0">
                  <c:v>Q420</c:v>
                </c:pt>
                <c:pt idx="1">
                  <c:v>Q121</c:v>
                </c:pt>
                <c:pt idx="2">
                  <c:v>Q221</c:v>
                </c:pt>
                <c:pt idx="3">
                  <c:v>Q321</c:v>
                </c:pt>
                <c:pt idx="4">
                  <c:v>Q421</c:v>
                </c:pt>
                <c:pt idx="5">
                  <c:v>Q122</c:v>
                </c:pt>
                <c:pt idx="6">
                  <c:v>Q222</c:v>
                </c:pt>
                <c:pt idx="7">
                  <c:v>Q322</c:v>
                </c:pt>
                <c:pt idx="8">
                  <c:v>Q422</c:v>
                </c:pt>
                <c:pt idx="9">
                  <c:v>Q123</c:v>
                </c:pt>
                <c:pt idx="10">
                  <c:v>Q223</c:v>
                </c:pt>
                <c:pt idx="11">
                  <c:v>Q323</c:v>
                </c:pt>
                <c:pt idx="12">
                  <c:v>Q423</c:v>
                </c:pt>
                <c:pt idx="13">
                  <c:v>Q124</c:v>
                </c:pt>
                <c:pt idx="14">
                  <c:v>Q224</c:v>
                </c:pt>
                <c:pt idx="15">
                  <c:v>Q324</c:v>
                </c:pt>
                <c:pt idx="16">
                  <c:v>Q424</c:v>
                </c:pt>
                <c:pt idx="17">
                  <c:v>Q125</c:v>
                </c:pt>
                <c:pt idx="18">
                  <c:v>Q225</c:v>
                </c:pt>
              </c:strCache>
            </c:strRef>
          </c:cat>
          <c:val>
            <c:numRef>
              <c:f>Model!$G$33:$Y$33</c:f>
              <c:numCache>
                <c:formatCode>0%</c:formatCode>
                <c:ptCount val="1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9B-7E4F-9D99-A2AF05F831C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Model!$G$2:$Y$2</c:f>
              <c:strCache>
                <c:ptCount val="19"/>
                <c:pt idx="0">
                  <c:v>Q420</c:v>
                </c:pt>
                <c:pt idx="1">
                  <c:v>Q121</c:v>
                </c:pt>
                <c:pt idx="2">
                  <c:v>Q221</c:v>
                </c:pt>
                <c:pt idx="3">
                  <c:v>Q321</c:v>
                </c:pt>
                <c:pt idx="4">
                  <c:v>Q421</c:v>
                </c:pt>
                <c:pt idx="5">
                  <c:v>Q122</c:v>
                </c:pt>
                <c:pt idx="6">
                  <c:v>Q222</c:v>
                </c:pt>
                <c:pt idx="7">
                  <c:v>Q322</c:v>
                </c:pt>
                <c:pt idx="8">
                  <c:v>Q422</c:v>
                </c:pt>
                <c:pt idx="9">
                  <c:v>Q123</c:v>
                </c:pt>
                <c:pt idx="10">
                  <c:v>Q223</c:v>
                </c:pt>
                <c:pt idx="11">
                  <c:v>Q323</c:v>
                </c:pt>
                <c:pt idx="12">
                  <c:v>Q423</c:v>
                </c:pt>
                <c:pt idx="13">
                  <c:v>Q124</c:v>
                </c:pt>
                <c:pt idx="14">
                  <c:v>Q224</c:v>
                </c:pt>
                <c:pt idx="15">
                  <c:v>Q324</c:v>
                </c:pt>
                <c:pt idx="16">
                  <c:v>Q424</c:v>
                </c:pt>
                <c:pt idx="17">
                  <c:v>Q125</c:v>
                </c:pt>
                <c:pt idx="18">
                  <c:v>Q225</c:v>
                </c:pt>
              </c:strCache>
            </c:strRef>
          </c:cat>
          <c:val>
            <c:numRef>
              <c:f>Model!#REF!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9B-7E4F-9D99-A2AF05F83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2523248"/>
        <c:axId val="1712524960"/>
      </c:lineChart>
      <c:catAx>
        <c:axId val="17125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524960"/>
        <c:crosses val="autoZero"/>
        <c:auto val="1"/>
        <c:lblAlgn val="ctr"/>
        <c:lblOffset val="100"/>
        <c:noMultiLvlLbl val="0"/>
      </c:catAx>
      <c:valAx>
        <c:axId val="171252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52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Model!$H$2:$Y$2</c:f>
              <c:strCache>
                <c:ptCount val="18"/>
                <c:pt idx="0">
                  <c:v>Q121</c:v>
                </c:pt>
                <c:pt idx="1">
                  <c:v>Q221</c:v>
                </c:pt>
                <c:pt idx="2">
                  <c:v>Q321</c:v>
                </c:pt>
                <c:pt idx="3">
                  <c:v>Q421</c:v>
                </c:pt>
                <c:pt idx="4">
                  <c:v>Q122</c:v>
                </c:pt>
                <c:pt idx="5">
                  <c:v>Q222</c:v>
                </c:pt>
                <c:pt idx="6">
                  <c:v>Q322</c:v>
                </c:pt>
                <c:pt idx="7">
                  <c:v>Q422</c:v>
                </c:pt>
                <c:pt idx="8">
                  <c:v>Q123</c:v>
                </c:pt>
                <c:pt idx="9">
                  <c:v>Q223</c:v>
                </c:pt>
                <c:pt idx="10">
                  <c:v>Q323</c:v>
                </c:pt>
                <c:pt idx="11">
                  <c:v>Q423</c:v>
                </c:pt>
                <c:pt idx="12">
                  <c:v>Q124</c:v>
                </c:pt>
                <c:pt idx="13">
                  <c:v>Q224</c:v>
                </c:pt>
                <c:pt idx="14">
                  <c:v>Q324</c:v>
                </c:pt>
                <c:pt idx="15">
                  <c:v>Q424</c:v>
                </c:pt>
                <c:pt idx="16">
                  <c:v>Q125</c:v>
                </c:pt>
                <c:pt idx="17">
                  <c:v>Q225</c:v>
                </c:pt>
              </c:strCache>
            </c:strRef>
          </c:cat>
          <c:val>
            <c:numRef>
              <c:f>Model!$H$22:$Y$22</c:f>
              <c:numCache>
                <c:formatCode>0%</c:formatCode>
                <c:ptCount val="18"/>
                <c:pt idx="13">
                  <c:v>0.5261737722611981</c:v>
                </c:pt>
                <c:pt idx="14">
                  <c:v>1.1651226158038148</c:v>
                </c:pt>
                <c:pt idx="15">
                  <c:v>-0.29228395061728396</c:v>
                </c:pt>
                <c:pt idx="16">
                  <c:v>0.11338518215309046</c:v>
                </c:pt>
                <c:pt idx="17">
                  <c:v>0.13366336633663356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8-E848-B408-4D7BA4FAC68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Model!$H$2:$Y$2</c:f>
              <c:strCache>
                <c:ptCount val="18"/>
                <c:pt idx="0">
                  <c:v>Q121</c:v>
                </c:pt>
                <c:pt idx="1">
                  <c:v>Q221</c:v>
                </c:pt>
                <c:pt idx="2">
                  <c:v>Q321</c:v>
                </c:pt>
                <c:pt idx="3">
                  <c:v>Q421</c:v>
                </c:pt>
                <c:pt idx="4">
                  <c:v>Q122</c:v>
                </c:pt>
                <c:pt idx="5">
                  <c:v>Q222</c:v>
                </c:pt>
                <c:pt idx="6">
                  <c:v>Q322</c:v>
                </c:pt>
                <c:pt idx="7">
                  <c:v>Q422</c:v>
                </c:pt>
                <c:pt idx="8">
                  <c:v>Q123</c:v>
                </c:pt>
                <c:pt idx="9">
                  <c:v>Q223</c:v>
                </c:pt>
                <c:pt idx="10">
                  <c:v>Q323</c:v>
                </c:pt>
                <c:pt idx="11">
                  <c:v>Q423</c:v>
                </c:pt>
                <c:pt idx="12">
                  <c:v>Q124</c:v>
                </c:pt>
                <c:pt idx="13">
                  <c:v>Q224</c:v>
                </c:pt>
                <c:pt idx="14">
                  <c:v>Q324</c:v>
                </c:pt>
                <c:pt idx="15">
                  <c:v>Q424</c:v>
                </c:pt>
                <c:pt idx="16">
                  <c:v>Q125</c:v>
                </c:pt>
                <c:pt idx="17">
                  <c:v>Q225</c:v>
                </c:pt>
              </c:strCache>
            </c:strRef>
          </c:cat>
          <c:val>
            <c:numRef>
              <c:f>Model!$H$23:$Y$23</c:f>
              <c:numCache>
                <c:formatCode>0%</c:formatCode>
                <c:ptCount val="18"/>
                <c:pt idx="17">
                  <c:v>0.27997180341906369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68-E848-B408-4D7BA4FAC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0526016"/>
        <c:axId val="1110489776"/>
      </c:lineChart>
      <c:catAx>
        <c:axId val="111052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489776"/>
        <c:crosses val="autoZero"/>
        <c:auto val="1"/>
        <c:lblAlgn val="ctr"/>
        <c:lblOffset val="100"/>
        <c:noMultiLvlLbl val="0"/>
      </c:catAx>
      <c:valAx>
        <c:axId val="111048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52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0</xdr:rowOff>
    </xdr:from>
    <xdr:to>
      <xdr:col>38</xdr:col>
      <xdr:colOff>9769</xdr:colOff>
      <xdr:row>40</xdr:row>
      <xdr:rowOff>29308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71D8EFC-09C6-2A54-398E-7A843132B433}"/>
            </a:ext>
          </a:extLst>
        </xdr:cNvPr>
        <xdr:cNvCxnSpPr/>
      </xdr:nvCxnSpPr>
      <xdr:spPr>
        <a:xfrm flipH="1">
          <a:off x="11693769" y="0"/>
          <a:ext cx="9769" cy="650630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423009</xdr:colOff>
      <xdr:row>24</xdr:row>
      <xdr:rowOff>6838</xdr:rowOff>
    </xdr:from>
    <xdr:to>
      <xdr:col>26</xdr:col>
      <xdr:colOff>178777</xdr:colOff>
      <xdr:row>49</xdr:row>
      <xdr:rowOff>123092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4CED1553-5F81-17ED-2C92-44240653A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469900</xdr:colOff>
      <xdr:row>25</xdr:row>
      <xdr:rowOff>127000</xdr:rowOff>
    </xdr:from>
    <xdr:to>
      <xdr:col>21</xdr:col>
      <xdr:colOff>228600</xdr:colOff>
      <xdr:row>55</xdr:row>
      <xdr:rowOff>12700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1E2C3BB9-6041-FABA-1771-1F247A2E7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Zhuping Liu" id="{94A1716C-0519-8043-A34A-0A5194B18325}" userId="d297780b3146bd88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22" dT="2025-09-07T03:01:34.73" personId="{94A1716C-0519-8043-A34A-0A5194B18325}" id="{6BBDE8D0-FA0E-BD4A-A1F1-D5F0F327E5DC}">
    <text>acquisition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5DBDA-4B1A-4770-80C0-02FC23528A0F}">
  <dimension ref="B2:M15"/>
  <sheetViews>
    <sheetView topLeftCell="B1" zoomScale="160" zoomScaleNormal="160" workbookViewId="0">
      <selection activeCell="C3" sqref="C3"/>
    </sheetView>
  </sheetViews>
  <sheetFormatPr baseColWidth="10" defaultColWidth="8.83203125" defaultRowHeight="13" x14ac:dyDescent="0.15"/>
  <cols>
    <col min="2" max="2" width="13.1640625" customWidth="1"/>
    <col min="7" max="9" width="5" customWidth="1"/>
  </cols>
  <sheetData>
    <row r="2" spans="2:13" x14ac:dyDescent="0.15">
      <c r="K2" t="s">
        <v>0</v>
      </c>
      <c r="L2" s="1">
        <v>257.06</v>
      </c>
    </row>
    <row r="3" spans="2:13" x14ac:dyDescent="0.15">
      <c r="B3" s="10"/>
      <c r="K3" t="s">
        <v>1</v>
      </c>
      <c r="L3" s="2">
        <v>47.066000000000003</v>
      </c>
      <c r="M3" s="5" t="s">
        <v>19</v>
      </c>
    </row>
    <row r="4" spans="2:13" x14ac:dyDescent="0.15">
      <c r="K4" t="s">
        <v>2</v>
      </c>
      <c r="L4" s="2">
        <f>+L2*L3</f>
        <v>12098.785960000001</v>
      </c>
    </row>
    <row r="5" spans="2:13" x14ac:dyDescent="0.15">
      <c r="K5" t="s">
        <v>3</v>
      </c>
      <c r="L5" s="2">
        <v>1428</v>
      </c>
      <c r="M5" s="5" t="s">
        <v>19</v>
      </c>
    </row>
    <row r="6" spans="2:13" x14ac:dyDescent="0.15">
      <c r="K6" t="s">
        <v>4</v>
      </c>
      <c r="L6" s="2">
        <v>2263</v>
      </c>
      <c r="M6" s="5" t="s">
        <v>19</v>
      </c>
    </row>
    <row r="7" spans="2:13" x14ac:dyDescent="0.15">
      <c r="K7" t="s">
        <v>5</v>
      </c>
      <c r="L7" s="2">
        <f>+L4-L5+L6</f>
        <v>12933.785960000001</v>
      </c>
    </row>
    <row r="12" spans="2:13" x14ac:dyDescent="0.15">
      <c r="C12" s="3"/>
    </row>
    <row r="13" spans="2:13" x14ac:dyDescent="0.15">
      <c r="C13" s="3"/>
    </row>
    <row r="14" spans="2:13" x14ac:dyDescent="0.15">
      <c r="C14" s="3"/>
    </row>
    <row r="15" spans="2:13" x14ac:dyDescent="0.15">
      <c r="C1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F6288-5426-4FAB-850B-2DD7EFC572EA}">
  <dimension ref="A1:EI42"/>
  <sheetViews>
    <sheetView tabSelected="1" zoomScale="150" zoomScaleNormal="150" workbookViewId="0">
      <pane xSplit="2" ySplit="2" topLeftCell="AM3" activePane="bottomRight" state="frozen"/>
      <selection pane="topRight" activeCell="C1" sqref="C1"/>
      <selection pane="bottomLeft" activeCell="A3" sqref="A3"/>
      <selection pane="bottomRight" activeCell="AZ9" sqref="AZ9"/>
    </sheetView>
  </sheetViews>
  <sheetFormatPr baseColWidth="10" defaultColWidth="10" defaultRowHeight="13" x14ac:dyDescent="0.15"/>
  <cols>
    <col min="1" max="1" width="5" bestFit="1" customWidth="1"/>
    <col min="2" max="2" width="18.5" customWidth="1"/>
    <col min="3" max="23" width="10" customWidth="1"/>
    <col min="24" max="24" width="10" bestFit="1" customWidth="1"/>
    <col min="25" max="47" width="10" customWidth="1"/>
    <col min="49" max="49" width="10.6640625" bestFit="1" customWidth="1"/>
  </cols>
  <sheetData>
    <row r="1" spans="1:139" x14ac:dyDescent="0.15">
      <c r="A1" t="s">
        <v>6</v>
      </c>
      <c r="J1" s="9">
        <v>44502</v>
      </c>
      <c r="K1" s="9">
        <v>44620</v>
      </c>
      <c r="N1" s="9">
        <v>44866</v>
      </c>
      <c r="O1" s="9">
        <v>44984</v>
      </c>
    </row>
    <row r="2" spans="1:139" x14ac:dyDescent="0.15">
      <c r="D2" t="s">
        <v>41</v>
      </c>
      <c r="E2" t="s">
        <v>42</v>
      </c>
      <c r="F2" t="s">
        <v>43</v>
      </c>
      <c r="G2" t="s">
        <v>44</v>
      </c>
      <c r="H2" t="s">
        <v>37</v>
      </c>
      <c r="I2" t="s">
        <v>38</v>
      </c>
      <c r="J2" t="s">
        <v>39</v>
      </c>
      <c r="K2" t="s">
        <v>40</v>
      </c>
      <c r="L2" t="s">
        <v>36</v>
      </c>
      <c r="M2" t="s">
        <v>35</v>
      </c>
      <c r="N2" t="s">
        <v>34</v>
      </c>
      <c r="O2" t="s">
        <v>33</v>
      </c>
      <c r="P2" t="s">
        <v>32</v>
      </c>
      <c r="Q2" t="s">
        <v>31</v>
      </c>
      <c r="R2" t="s">
        <v>30</v>
      </c>
      <c r="S2" t="s">
        <v>29</v>
      </c>
      <c r="T2" t="s">
        <v>23</v>
      </c>
      <c r="U2" t="s">
        <v>22</v>
      </c>
      <c r="V2" t="s">
        <v>21</v>
      </c>
      <c r="W2" t="s">
        <v>8</v>
      </c>
      <c r="X2" t="s">
        <v>20</v>
      </c>
      <c r="Y2" t="s">
        <v>19</v>
      </c>
      <c r="AB2">
        <v>2014</v>
      </c>
      <c r="AC2">
        <v>2015</v>
      </c>
      <c r="AD2">
        <v>2016</v>
      </c>
      <c r="AE2">
        <v>2017</v>
      </c>
      <c r="AF2">
        <v>2018</v>
      </c>
      <c r="AG2">
        <v>2019</v>
      </c>
      <c r="AH2">
        <v>2020</v>
      </c>
      <c r="AI2">
        <v>2021</v>
      </c>
      <c r="AJ2">
        <v>2022</v>
      </c>
      <c r="AK2">
        <v>2023</v>
      </c>
      <c r="AL2">
        <v>2024</v>
      </c>
      <c r="AM2">
        <v>2025</v>
      </c>
      <c r="AN2">
        <v>2026</v>
      </c>
      <c r="AO2">
        <v>2027</v>
      </c>
      <c r="AP2">
        <v>2028</v>
      </c>
      <c r="AQ2">
        <v>2029</v>
      </c>
      <c r="AR2">
        <v>2030</v>
      </c>
      <c r="AS2">
        <v>2031</v>
      </c>
      <c r="AT2">
        <v>2032</v>
      </c>
      <c r="AU2">
        <v>2033</v>
      </c>
      <c r="AV2">
        <v>2034</v>
      </c>
      <c r="AW2">
        <v>2035</v>
      </c>
    </row>
    <row r="3" spans="1:139" s="2" customFormat="1" x14ac:dyDescent="0.15">
      <c r="B3" s="4" t="s">
        <v>58</v>
      </c>
      <c r="Y3" s="2">
        <v>3421</v>
      </c>
      <c r="AJ3" s="2">
        <v>6333</v>
      </c>
      <c r="AK3" s="2">
        <v>7471</v>
      </c>
      <c r="AL3" s="2">
        <v>10095</v>
      </c>
    </row>
    <row r="4" spans="1:139" s="2" customFormat="1" x14ac:dyDescent="0.15">
      <c r="B4" s="2" t="s">
        <v>7</v>
      </c>
    </row>
    <row r="5" spans="1:139" s="2" customFormat="1" x14ac:dyDescent="0.15">
      <c r="B5" s="2" t="s">
        <v>46</v>
      </c>
    </row>
    <row r="6" spans="1:139" s="4" customFormat="1" x14ac:dyDescent="0.15">
      <c r="B6" s="4" t="s">
        <v>9</v>
      </c>
      <c r="Q6" s="4">
        <v>1853</v>
      </c>
      <c r="R6" s="4">
        <v>1835</v>
      </c>
      <c r="S6" s="4">
        <v>3240</v>
      </c>
      <c r="T6" s="4">
        <v>2443</v>
      </c>
      <c r="U6" s="4">
        <v>2828</v>
      </c>
      <c r="V6" s="4">
        <v>3973</v>
      </c>
      <c r="W6" s="4">
        <v>2293</v>
      </c>
      <c r="X6" s="4">
        <v>2720</v>
      </c>
      <c r="Y6" s="4">
        <v>3206</v>
      </c>
      <c r="AB6" s="2"/>
      <c r="AF6" s="2"/>
      <c r="AH6" s="4">
        <v>5172</v>
      </c>
      <c r="AI6" s="4">
        <v>5227</v>
      </c>
      <c r="AJ6" s="4">
        <v>5060</v>
      </c>
      <c r="AK6" s="4">
        <v>9134</v>
      </c>
      <c r="AL6" s="4">
        <v>11695</v>
      </c>
      <c r="AM6" s="4">
        <f>+AL6*1.11</f>
        <v>12981.45</v>
      </c>
      <c r="AN6" s="4">
        <f>+AM6*0.76</f>
        <v>9865.902</v>
      </c>
      <c r="AO6" s="4">
        <f>+AN6*1.23</f>
        <v>12135.05946</v>
      </c>
      <c r="AP6" s="4">
        <f>+AO6*1.16</f>
        <v>14076.668973599999</v>
      </c>
      <c r="AQ6" s="4">
        <f>+AP6*1.08</f>
        <v>15202.802491488001</v>
      </c>
      <c r="AR6" s="4">
        <f t="shared" ref="AR6:AT6" si="0">+AQ6*1.08</f>
        <v>16419.026690807041</v>
      </c>
      <c r="AS6" s="4">
        <f t="shared" si="0"/>
        <v>17732.548826071605</v>
      </c>
      <c r="AT6" s="4">
        <f t="shared" si="0"/>
        <v>19151.152732157334</v>
      </c>
      <c r="AU6" s="4">
        <f t="shared" ref="AO6:AW6" si="1">+AT6*1.04</f>
        <v>19917.198841443627</v>
      </c>
      <c r="AV6" s="4">
        <f t="shared" si="1"/>
        <v>20713.886795101374</v>
      </c>
      <c r="AW6" s="4">
        <f t="shared" si="1"/>
        <v>21542.442266905429</v>
      </c>
    </row>
    <row r="7" spans="1:139" s="2" customFormat="1" x14ac:dyDescent="0.15">
      <c r="B7" s="2" t="s">
        <v>50</v>
      </c>
      <c r="U7" s="2">
        <v>1309</v>
      </c>
      <c r="V7" s="4"/>
      <c r="W7" s="4"/>
      <c r="Y7" s="2">
        <v>1042</v>
      </c>
      <c r="Z7" s="4"/>
      <c r="AI7" s="2">
        <v>3876</v>
      </c>
      <c r="AJ7" s="2">
        <v>4338</v>
      </c>
      <c r="AK7" s="2">
        <v>3573</v>
      </c>
      <c r="AL7" s="2">
        <v>5332</v>
      </c>
      <c r="AM7" s="4"/>
    </row>
    <row r="8" spans="1:139" s="2" customFormat="1" x14ac:dyDescent="0.15">
      <c r="B8" s="2" t="s">
        <v>51</v>
      </c>
      <c r="U8" s="2">
        <f>+U6-U7</f>
        <v>1519</v>
      </c>
      <c r="W8" s="4"/>
      <c r="Y8" s="2">
        <f>+Y6-Y7</f>
        <v>2164</v>
      </c>
      <c r="AI8" s="2">
        <f>+AI6-AI7</f>
        <v>1351</v>
      </c>
      <c r="AJ8" s="2">
        <f>+AJ6-AJ7</f>
        <v>722</v>
      </c>
      <c r="AK8" s="2">
        <f>+AK6-AK7</f>
        <v>5561</v>
      </c>
      <c r="AL8" s="2">
        <f>+AL6-AL7</f>
        <v>6363</v>
      </c>
    </row>
    <row r="9" spans="1:139" s="2" customFormat="1" x14ac:dyDescent="0.15">
      <c r="B9" s="2" t="s">
        <v>52</v>
      </c>
      <c r="U9" s="2">
        <v>644</v>
      </c>
      <c r="W9" s="4"/>
      <c r="Y9" s="2">
        <v>642</v>
      </c>
      <c r="AI9" s="2">
        <v>1214</v>
      </c>
      <c r="AJ9" s="2">
        <v>1568</v>
      </c>
      <c r="AK9" s="2">
        <v>1875</v>
      </c>
      <c r="AL9" s="2">
        <v>2643</v>
      </c>
    </row>
    <row r="10" spans="1:139" s="2" customFormat="1" x14ac:dyDescent="0.15">
      <c r="B10" s="2" t="s">
        <v>53</v>
      </c>
      <c r="U10" s="2">
        <f>108+35</f>
        <v>143</v>
      </c>
      <c r="Y10" s="2">
        <f>125+23</f>
        <v>148</v>
      </c>
      <c r="AI10" s="2">
        <f>212+41</f>
        <v>253</v>
      </c>
      <c r="AJ10" s="2">
        <f>276+46</f>
        <v>322</v>
      </c>
      <c r="AK10" s="2">
        <f>375+127</f>
        <v>502</v>
      </c>
      <c r="AL10" s="2">
        <f>496+134</f>
        <v>630</v>
      </c>
    </row>
    <row r="11" spans="1:139" s="2" customFormat="1" x14ac:dyDescent="0.15">
      <c r="B11" s="2" t="s">
        <v>47</v>
      </c>
      <c r="U11" s="2">
        <f>+SUM(U9:U10)</f>
        <v>787</v>
      </c>
      <c r="Y11" s="2">
        <f>+SUM(Y9:Y10)</f>
        <v>790</v>
      </c>
      <c r="AI11" s="2">
        <f>+SUM(AI9:AI10)</f>
        <v>1467</v>
      </c>
      <c r="AJ11" s="2">
        <f>+SUM(AJ9:AJ10)</f>
        <v>1890</v>
      </c>
      <c r="AK11" s="2">
        <f>+SUM(AK9:AK10)</f>
        <v>2377</v>
      </c>
      <c r="AL11" s="2">
        <f>+SUM(AL9:AL10)</f>
        <v>3273</v>
      </c>
    </row>
    <row r="12" spans="1:139" s="2" customFormat="1" x14ac:dyDescent="0.15">
      <c r="B12" s="2" t="s">
        <v>54</v>
      </c>
      <c r="U12" s="2">
        <f>+U8-U11</f>
        <v>732</v>
      </c>
      <c r="Y12" s="2">
        <f>+Y8-Y11</f>
        <v>1374</v>
      </c>
      <c r="AI12" s="2">
        <f>+AI8-AI11</f>
        <v>-116</v>
      </c>
      <c r="AJ12" s="2">
        <f>+AJ8-AJ11</f>
        <v>-1168</v>
      </c>
      <c r="AK12" s="2">
        <f>+AK8-AK11</f>
        <v>3184</v>
      </c>
      <c r="AL12" s="2">
        <f>+AL8-AL11</f>
        <v>3090</v>
      </c>
      <c r="AM12" s="2">
        <f>+AM6*0.15</f>
        <v>1947.2175</v>
      </c>
      <c r="AN12" s="2">
        <f t="shared" ref="AN12:AW12" si="2">+AN6*0.15</f>
        <v>1479.8852999999999</v>
      </c>
      <c r="AO12" s="2">
        <f t="shared" si="2"/>
        <v>1820.2589190000001</v>
      </c>
      <c r="AP12" s="2">
        <f t="shared" si="2"/>
        <v>2111.5003460399998</v>
      </c>
      <c r="AQ12" s="2">
        <f t="shared" si="2"/>
        <v>2280.4203737232001</v>
      </c>
      <c r="AR12" s="2">
        <f t="shared" si="2"/>
        <v>2462.8540036210561</v>
      </c>
      <c r="AS12" s="2">
        <f t="shared" si="2"/>
        <v>2659.8823239107405</v>
      </c>
      <c r="AT12" s="2">
        <f t="shared" si="2"/>
        <v>2872.6729098236001</v>
      </c>
      <c r="AU12" s="2">
        <f t="shared" si="2"/>
        <v>2987.579826216544</v>
      </c>
      <c r="AV12" s="2">
        <f t="shared" si="2"/>
        <v>3107.0830192652061</v>
      </c>
      <c r="AW12" s="2">
        <f t="shared" si="2"/>
        <v>3231.3663400358141</v>
      </c>
    </row>
    <row r="13" spans="1:139" s="2" customFormat="1" x14ac:dyDescent="0.15">
      <c r="B13" s="2" t="s">
        <v>11</v>
      </c>
      <c r="U13" s="2">
        <v>-23</v>
      </c>
      <c r="Y13" s="2">
        <v>-31</v>
      </c>
      <c r="AI13" s="2">
        <v>-47</v>
      </c>
      <c r="AJ13" s="2">
        <v>-48</v>
      </c>
      <c r="AK13" s="2">
        <v>-73</v>
      </c>
      <c r="AL13" s="2">
        <v>-93</v>
      </c>
      <c r="AM13" s="2">
        <f>+AL13*1.02</f>
        <v>-94.86</v>
      </c>
      <c r="AN13" s="2">
        <f t="shared" ref="AN13:AW13" si="3">+AM13*1.02</f>
        <v>-96.757199999999997</v>
      </c>
      <c r="AO13" s="2">
        <f t="shared" si="3"/>
        <v>-98.692344000000006</v>
      </c>
      <c r="AP13" s="2">
        <f t="shared" si="3"/>
        <v>-100.66619088</v>
      </c>
      <c r="AQ13" s="2">
        <f t="shared" si="3"/>
        <v>-102.6795146976</v>
      </c>
      <c r="AR13" s="2">
        <f t="shared" si="3"/>
        <v>-104.733104991552</v>
      </c>
      <c r="AS13" s="2">
        <f t="shared" si="3"/>
        <v>-106.82776709138304</v>
      </c>
      <c r="AT13" s="2">
        <f t="shared" si="3"/>
        <v>-108.9643224332107</v>
      </c>
      <c r="AU13" s="2">
        <f t="shared" si="3"/>
        <v>-111.14360888187491</v>
      </c>
      <c r="AV13" s="2">
        <f t="shared" si="3"/>
        <v>-113.36648105951241</v>
      </c>
      <c r="AW13" s="2">
        <f t="shared" si="3"/>
        <v>-115.63381068070267</v>
      </c>
    </row>
    <row r="14" spans="1:139" x14ac:dyDescent="0.15">
      <c r="B14" s="2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>
        <f>+U12+U13</f>
        <v>709</v>
      </c>
      <c r="V14" s="2"/>
      <c r="W14" s="2"/>
      <c r="X14" s="2"/>
      <c r="Y14" s="2">
        <f>+Y12+Y13</f>
        <v>1343</v>
      </c>
      <c r="Z14" s="2"/>
      <c r="AA14" s="2"/>
      <c r="AB14" s="2"/>
      <c r="AC14" s="2"/>
      <c r="AD14" s="2"/>
      <c r="AE14" s="2"/>
      <c r="AF14" s="2"/>
      <c r="AG14" s="2"/>
      <c r="AH14" s="2"/>
      <c r="AI14" s="2">
        <f>+AI12+AI13</f>
        <v>-163</v>
      </c>
      <c r="AJ14" s="2">
        <f>+AJ12+AJ13</f>
        <v>-1216</v>
      </c>
      <c r="AK14" s="2">
        <f>+AK12+AK13</f>
        <v>3111</v>
      </c>
      <c r="AL14" s="2">
        <f>+AL12+AL13</f>
        <v>2997</v>
      </c>
      <c r="AM14" s="2">
        <f t="shared" ref="AM14:AW14" si="4">+AM12+AM13</f>
        <v>1852.3575000000001</v>
      </c>
      <c r="AN14" s="2">
        <f t="shared" si="4"/>
        <v>1383.1280999999999</v>
      </c>
      <c r="AO14" s="2">
        <f t="shared" si="4"/>
        <v>1721.5665750000001</v>
      </c>
      <c r="AP14" s="2">
        <f t="shared" si="4"/>
        <v>2010.8341551599999</v>
      </c>
      <c r="AQ14" s="2">
        <f t="shared" si="4"/>
        <v>2177.7408590256</v>
      </c>
      <c r="AR14" s="2">
        <f t="shared" si="4"/>
        <v>2358.1208986295042</v>
      </c>
      <c r="AS14" s="2">
        <f t="shared" si="4"/>
        <v>2553.0545568193575</v>
      </c>
      <c r="AT14" s="2">
        <f t="shared" si="4"/>
        <v>2763.7085873903893</v>
      </c>
      <c r="AU14" s="2">
        <f t="shared" si="4"/>
        <v>2876.436217334669</v>
      </c>
      <c r="AV14" s="2">
        <f t="shared" si="4"/>
        <v>2993.7165382056937</v>
      </c>
      <c r="AW14" s="2">
        <f t="shared" si="4"/>
        <v>3115.7325293551116</v>
      </c>
    </row>
    <row r="15" spans="1:139" s="2" customFormat="1" x14ac:dyDescent="0.15">
      <c r="B15" s="2" t="s">
        <v>12</v>
      </c>
      <c r="U15" s="2">
        <v>-20</v>
      </c>
      <c r="Y15" s="2">
        <v>176</v>
      </c>
      <c r="AI15" s="2">
        <v>-10</v>
      </c>
      <c r="AJ15" s="2">
        <v>-59</v>
      </c>
      <c r="AK15" s="2">
        <v>-510</v>
      </c>
      <c r="AL15" s="2">
        <v>32</v>
      </c>
      <c r="AM15" s="2">
        <f>+AM14*0.02</f>
        <v>37.047150000000002</v>
      </c>
      <c r="AN15" s="2">
        <f t="shared" ref="AN15:AW15" si="5">+AN14*0.02</f>
        <v>27.662561999999998</v>
      </c>
      <c r="AO15" s="2">
        <f t="shared" si="5"/>
        <v>34.431331499999999</v>
      </c>
      <c r="AP15" s="2">
        <f t="shared" si="5"/>
        <v>40.216683103199998</v>
      </c>
      <c r="AQ15" s="2">
        <f t="shared" si="5"/>
        <v>43.554817180512003</v>
      </c>
      <c r="AR15" s="2">
        <f t="shared" si="5"/>
        <v>47.162417972590085</v>
      </c>
      <c r="AS15" s="2">
        <f t="shared" si="5"/>
        <v>51.061091136387148</v>
      </c>
      <c r="AT15" s="2">
        <f t="shared" si="5"/>
        <v>55.274171747807785</v>
      </c>
      <c r="AU15" s="2">
        <f t="shared" si="5"/>
        <v>57.52872434669338</v>
      </c>
      <c r="AV15" s="2">
        <f t="shared" si="5"/>
        <v>59.874330764113878</v>
      </c>
      <c r="AW15" s="2">
        <f t="shared" si="5"/>
        <v>62.314650587102236</v>
      </c>
    </row>
    <row r="16" spans="1:139" x14ac:dyDescent="0.15">
      <c r="B16" s="2" t="s">
        <v>13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>
        <f>+U14-U15</f>
        <v>729</v>
      </c>
      <c r="V16" s="2"/>
      <c r="W16" s="2"/>
      <c r="X16" s="2"/>
      <c r="Y16" s="2">
        <f>+Y14-Y15</f>
        <v>1167</v>
      </c>
      <c r="Z16" s="2"/>
      <c r="AA16" s="2"/>
      <c r="AB16" s="2"/>
      <c r="AC16" s="2"/>
      <c r="AD16" s="2"/>
      <c r="AE16" s="2"/>
      <c r="AF16" s="2"/>
      <c r="AG16" s="2"/>
      <c r="AH16" s="2"/>
      <c r="AI16" s="2">
        <f>+AI14-AI15</f>
        <v>-153</v>
      </c>
      <c r="AJ16" s="2">
        <f>+AJ14-AJ15</f>
        <v>-1157</v>
      </c>
      <c r="AK16" s="2">
        <f>+AK14-AK15</f>
        <v>3621</v>
      </c>
      <c r="AL16" s="2">
        <f>+AL14-AL15</f>
        <v>2965</v>
      </c>
      <c r="AM16" s="2">
        <f t="shared" ref="AM16:AW16" si="6">+AM14-AM15</f>
        <v>1815.31035</v>
      </c>
      <c r="AN16" s="2">
        <f t="shared" si="6"/>
        <v>1355.4655379999999</v>
      </c>
      <c r="AO16" s="2">
        <f t="shared" si="6"/>
        <v>1687.1352435000001</v>
      </c>
      <c r="AP16" s="2">
        <f t="shared" si="6"/>
        <v>1970.6174720567999</v>
      </c>
      <c r="AQ16" s="2">
        <f t="shared" si="6"/>
        <v>2134.1860418450879</v>
      </c>
      <c r="AR16" s="2">
        <f t="shared" si="6"/>
        <v>2310.9584806569142</v>
      </c>
      <c r="AS16" s="2">
        <f t="shared" si="6"/>
        <v>2501.9934656829705</v>
      </c>
      <c r="AT16" s="2">
        <f t="shared" si="6"/>
        <v>2708.4344156425814</v>
      </c>
      <c r="AU16" s="2">
        <f t="shared" si="6"/>
        <v>2818.9074929879757</v>
      </c>
      <c r="AV16" s="2">
        <f t="shared" si="6"/>
        <v>2933.8422074415798</v>
      </c>
      <c r="AW16" s="2">
        <f t="shared" si="6"/>
        <v>3053.4178787680094</v>
      </c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</row>
    <row r="17" spans="2:139" x14ac:dyDescent="0.15">
      <c r="B17" s="2" t="s">
        <v>56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>
        <v>224</v>
      </c>
      <c r="V17" s="2"/>
      <c r="W17" s="2"/>
      <c r="X17" s="2"/>
      <c r="Y17" s="2">
        <v>328</v>
      </c>
      <c r="Z17" s="2"/>
      <c r="AA17" s="2"/>
      <c r="AB17" s="2"/>
      <c r="AC17" s="2"/>
      <c r="AD17" s="2"/>
      <c r="AE17" s="2"/>
      <c r="AF17" s="2"/>
      <c r="AG17" s="2"/>
      <c r="AH17" s="2"/>
      <c r="AI17" s="2">
        <v>-63</v>
      </c>
      <c r="AJ17" s="2">
        <v>-98</v>
      </c>
      <c r="AK17" s="2">
        <v>1058</v>
      </c>
      <c r="AL17" s="2">
        <v>1090</v>
      </c>
      <c r="AM17" s="2">
        <f>+AM16*0.3</f>
        <v>544.59310499999992</v>
      </c>
      <c r="AN17" s="2">
        <f t="shared" ref="AN17:AX17" si="7">+AN16*0.3</f>
        <v>406.63966139999997</v>
      </c>
      <c r="AO17" s="2">
        <f t="shared" si="7"/>
        <v>506.14057305</v>
      </c>
      <c r="AP17" s="2">
        <f t="shared" si="7"/>
        <v>591.18524161703999</v>
      </c>
      <c r="AQ17" s="2">
        <f t="shared" si="7"/>
        <v>640.25581255352631</v>
      </c>
      <c r="AR17" s="2">
        <f t="shared" si="7"/>
        <v>693.28754419707423</v>
      </c>
      <c r="AS17" s="2">
        <f t="shared" si="7"/>
        <v>750.59803970489111</v>
      </c>
      <c r="AT17" s="2">
        <f t="shared" si="7"/>
        <v>812.53032469277434</v>
      </c>
      <c r="AU17" s="2">
        <f t="shared" si="7"/>
        <v>845.67224789639272</v>
      </c>
      <c r="AV17" s="2">
        <f t="shared" si="7"/>
        <v>880.15266223247397</v>
      </c>
      <c r="AW17" s="2">
        <f t="shared" si="7"/>
        <v>916.02536363040281</v>
      </c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</row>
    <row r="18" spans="2:139" x14ac:dyDescent="0.15">
      <c r="B18" s="2" t="s">
        <v>57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>
        <f>+U16-U17</f>
        <v>505</v>
      </c>
      <c r="V18" s="2"/>
      <c r="W18" s="2"/>
      <c r="X18" s="2"/>
      <c r="Y18" s="2">
        <f>+Y16-Y17</f>
        <v>839</v>
      </c>
      <c r="Z18" s="2"/>
      <c r="AA18" s="2"/>
      <c r="AB18" s="2"/>
      <c r="AC18" s="2"/>
      <c r="AD18" s="2"/>
      <c r="AE18" s="2"/>
      <c r="AF18" s="2"/>
      <c r="AG18" s="2"/>
      <c r="AH18" s="2"/>
      <c r="AI18" s="2">
        <f>+AI16-AI17</f>
        <v>-90</v>
      </c>
      <c r="AJ18" s="2">
        <f>+AJ16-AJ17</f>
        <v>-1059</v>
      </c>
      <c r="AK18" s="2">
        <f>+AK16-AK17</f>
        <v>2563</v>
      </c>
      <c r="AL18" s="2">
        <f>+AL16-AL17</f>
        <v>1875</v>
      </c>
      <c r="AM18" s="2">
        <f>+AM16-AM17</f>
        <v>1270.717245</v>
      </c>
      <c r="AN18" s="2">
        <f t="shared" ref="AN18:AW18" si="8">+AN16-AN17</f>
        <v>948.8258765999999</v>
      </c>
      <c r="AO18" s="2">
        <f t="shared" si="8"/>
        <v>1180.9946704500001</v>
      </c>
      <c r="AP18" s="2">
        <f t="shared" si="8"/>
        <v>1379.4322304397599</v>
      </c>
      <c r="AQ18" s="2">
        <f t="shared" si="8"/>
        <v>1493.9302292915615</v>
      </c>
      <c r="AR18" s="2">
        <f t="shared" si="8"/>
        <v>1617.67093645984</v>
      </c>
      <c r="AS18" s="2">
        <f t="shared" si="8"/>
        <v>1751.3954259780794</v>
      </c>
      <c r="AT18" s="2">
        <f t="shared" si="8"/>
        <v>1895.9040909498071</v>
      </c>
      <c r="AU18" s="2">
        <f t="shared" si="8"/>
        <v>1973.235245091583</v>
      </c>
      <c r="AV18" s="2">
        <f t="shared" si="8"/>
        <v>2053.6895452091057</v>
      </c>
      <c r="AW18" s="2">
        <f t="shared" si="8"/>
        <v>2137.3925151376066</v>
      </c>
      <c r="AX18" s="2">
        <f>+AW18*1.005</f>
        <v>2148.0794777132942</v>
      </c>
      <c r="AY18" s="2">
        <f>+AX18*1.005</f>
        <v>2158.8198751018604</v>
      </c>
      <c r="AZ18" s="2">
        <f t="shared" ref="AZ18:DI18" si="9">+AY18*1.005</f>
        <v>2169.6139744773695</v>
      </c>
      <c r="BA18" s="2">
        <f t="shared" si="9"/>
        <v>2180.4620443497561</v>
      </c>
      <c r="BB18" s="2">
        <f t="shared" si="9"/>
        <v>2191.3643545715045</v>
      </c>
      <c r="BC18" s="2">
        <f t="shared" si="9"/>
        <v>2202.3211763443619</v>
      </c>
      <c r="BD18" s="2">
        <f t="shared" si="9"/>
        <v>2213.3327822260835</v>
      </c>
      <c r="BE18" s="2">
        <f t="shared" si="9"/>
        <v>2224.3994461372135</v>
      </c>
      <c r="BF18" s="2">
        <f t="shared" si="9"/>
        <v>2235.5214433678993</v>
      </c>
      <c r="BG18" s="2">
        <f t="shared" si="9"/>
        <v>2246.6990505847384</v>
      </c>
      <c r="BH18" s="2">
        <f t="shared" si="9"/>
        <v>2257.932545837662</v>
      </c>
      <c r="BI18" s="2">
        <f t="shared" si="9"/>
        <v>2269.22220856685</v>
      </c>
      <c r="BJ18" s="2">
        <f t="shared" si="9"/>
        <v>2280.5683196096838</v>
      </c>
      <c r="BK18" s="2">
        <f t="shared" si="9"/>
        <v>2291.9711612077322</v>
      </c>
      <c r="BL18" s="2">
        <f t="shared" si="9"/>
        <v>2303.4310170137705</v>
      </c>
      <c r="BM18" s="2">
        <f t="shared" si="9"/>
        <v>2314.9481720988392</v>
      </c>
      <c r="BN18" s="2">
        <f t="shared" si="9"/>
        <v>2326.5229129593331</v>
      </c>
      <c r="BO18" s="2">
        <f t="shared" si="9"/>
        <v>2338.1555275241294</v>
      </c>
      <c r="BP18" s="2">
        <f t="shared" si="9"/>
        <v>2349.84630516175</v>
      </c>
      <c r="BQ18" s="2">
        <f t="shared" si="9"/>
        <v>2361.5955366875587</v>
      </c>
      <c r="BR18" s="2">
        <f t="shared" si="9"/>
        <v>2373.4035143709962</v>
      </c>
      <c r="BS18" s="2">
        <f t="shared" si="9"/>
        <v>2385.270531942851</v>
      </c>
      <c r="BT18" s="2">
        <f t="shared" si="9"/>
        <v>2397.1968846025652</v>
      </c>
      <c r="BU18" s="2">
        <f t="shared" si="9"/>
        <v>2409.1828690255779</v>
      </c>
      <c r="BV18" s="2">
        <f t="shared" si="9"/>
        <v>2421.2287833707055</v>
      </c>
      <c r="BW18" s="2">
        <f t="shared" si="9"/>
        <v>2433.3349272875589</v>
      </c>
      <c r="BX18" s="2">
        <f t="shared" si="9"/>
        <v>2445.5016019239965</v>
      </c>
      <c r="BY18" s="2">
        <f t="shared" si="9"/>
        <v>2457.7291099336162</v>
      </c>
      <c r="BZ18" s="2">
        <f t="shared" si="9"/>
        <v>2470.017755483284</v>
      </c>
      <c r="CA18" s="2">
        <f t="shared" si="9"/>
        <v>2482.3678442607002</v>
      </c>
      <c r="CB18" s="2">
        <f t="shared" si="9"/>
        <v>2494.7796834820033</v>
      </c>
      <c r="CC18" s="2">
        <f t="shared" si="9"/>
        <v>2507.2535818994129</v>
      </c>
      <c r="CD18" s="2">
        <f t="shared" si="9"/>
        <v>2519.7898498089098</v>
      </c>
      <c r="CE18" s="2">
        <f t="shared" si="9"/>
        <v>2532.3887990579542</v>
      </c>
      <c r="CF18" s="2">
        <f t="shared" si="9"/>
        <v>2545.0507430532439</v>
      </c>
      <c r="CG18" s="2">
        <f t="shared" si="9"/>
        <v>2557.7759967685097</v>
      </c>
      <c r="CH18" s="2">
        <f t="shared" si="9"/>
        <v>2570.5648767523521</v>
      </c>
      <c r="CI18" s="2">
        <f t="shared" si="9"/>
        <v>2583.4177011361135</v>
      </c>
      <c r="CJ18" s="2">
        <f t="shared" si="9"/>
        <v>2596.3347896417936</v>
      </c>
      <c r="CK18" s="2">
        <f t="shared" si="9"/>
        <v>2609.3164635900021</v>
      </c>
      <c r="CL18" s="2">
        <f t="shared" si="9"/>
        <v>2622.3630459079518</v>
      </c>
      <c r="CM18" s="2">
        <f t="shared" si="9"/>
        <v>2635.4748611374912</v>
      </c>
      <c r="CN18" s="2">
        <f t="shared" si="9"/>
        <v>2648.6522354431781</v>
      </c>
      <c r="CO18" s="2">
        <f t="shared" si="9"/>
        <v>2661.8954966203937</v>
      </c>
      <c r="CP18" s="2">
        <f t="shared" si="9"/>
        <v>2675.2049741034953</v>
      </c>
      <c r="CQ18" s="2">
        <f t="shared" si="9"/>
        <v>2688.5809989740123</v>
      </c>
      <c r="CR18" s="2">
        <f t="shared" si="9"/>
        <v>2702.0239039688822</v>
      </c>
      <c r="CS18" s="2">
        <f t="shared" si="9"/>
        <v>2715.5340234887262</v>
      </c>
      <c r="CT18" s="2">
        <f t="shared" si="9"/>
        <v>2729.1116936061694</v>
      </c>
      <c r="CU18" s="2">
        <f t="shared" si="9"/>
        <v>2742.7572520742001</v>
      </c>
      <c r="CV18" s="2">
        <f t="shared" si="9"/>
        <v>2756.4710383345709</v>
      </c>
      <c r="CW18" s="2">
        <f t="shared" si="9"/>
        <v>2770.2533935262436</v>
      </c>
      <c r="CX18" s="2">
        <f t="shared" si="9"/>
        <v>2784.1046604938747</v>
      </c>
      <c r="CY18" s="2">
        <f t="shared" si="9"/>
        <v>2798.0251837963438</v>
      </c>
      <c r="CZ18" s="2">
        <f t="shared" si="9"/>
        <v>2812.0153097153252</v>
      </c>
      <c r="DA18" s="2">
        <f t="shared" si="9"/>
        <v>2826.0753862639017</v>
      </c>
      <c r="DB18" s="2">
        <f t="shared" si="9"/>
        <v>2840.2057631952207</v>
      </c>
      <c r="DC18" s="2">
        <f t="shared" si="9"/>
        <v>2854.4067920111966</v>
      </c>
      <c r="DD18" s="2">
        <f t="shared" si="9"/>
        <v>2868.6788259712521</v>
      </c>
      <c r="DE18" s="2">
        <f t="shared" si="9"/>
        <v>2883.0222201011079</v>
      </c>
      <c r="DF18" s="2">
        <f t="shared" si="9"/>
        <v>2897.4373312016132</v>
      </c>
      <c r="DG18" s="2">
        <f t="shared" si="9"/>
        <v>2911.9245178576211</v>
      </c>
      <c r="DH18" s="2">
        <f t="shared" si="9"/>
        <v>2926.4841404469089</v>
      </c>
      <c r="DI18" s="2">
        <f t="shared" si="9"/>
        <v>2941.1165611491433</v>
      </c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</row>
    <row r="19" spans="2:139" x14ac:dyDescent="0.15">
      <c r="B19" s="2" t="s">
        <v>14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f>+U18/U20</f>
        <v>9.9019607843137258</v>
      </c>
      <c r="V19" s="1"/>
      <c r="W19" s="1"/>
      <c r="X19" s="1"/>
      <c r="Y19" s="1">
        <f>+Y18/Y20</f>
        <v>17.851063829787233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2:139" x14ac:dyDescent="0.15">
      <c r="B20" s="2" t="s">
        <v>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>
        <v>51</v>
      </c>
      <c r="V20" s="2"/>
      <c r="W20" s="2"/>
      <c r="X20" s="2"/>
      <c r="Y20" s="2">
        <v>47</v>
      </c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spans="2:139" x14ac:dyDescent="0.1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L21" s="2"/>
      <c r="AM21" s="2"/>
      <c r="AN21" s="2"/>
    </row>
    <row r="22" spans="2:139" x14ac:dyDescent="0.15">
      <c r="B22" s="2" t="s">
        <v>17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f>+U6/Q6-1</f>
        <v>0.5261737722611981</v>
      </c>
      <c r="V22" s="3">
        <f t="shared" ref="V22:Y22" si="10">+V6/R6-1</f>
        <v>1.1651226158038148</v>
      </c>
      <c r="W22" s="3">
        <f t="shared" si="10"/>
        <v>-0.29228395061728396</v>
      </c>
      <c r="X22" s="3">
        <f t="shared" si="10"/>
        <v>0.11338518215309046</v>
      </c>
      <c r="Y22" s="3">
        <f t="shared" si="10"/>
        <v>0.13366336633663356</v>
      </c>
      <c r="Z22" s="3"/>
      <c r="AA22" s="3"/>
      <c r="AB22" s="3"/>
      <c r="AC22" s="3"/>
      <c r="AD22" s="3"/>
      <c r="AE22" s="3"/>
      <c r="AF22" s="3"/>
      <c r="AG22" s="3"/>
      <c r="AH22" s="3"/>
      <c r="AI22" s="3">
        <f>+AI6/AH6-1</f>
        <v>1.0634184068058827E-2</v>
      </c>
      <c r="AJ22" s="3">
        <f t="shared" ref="AJ22:AM22" si="11">+AJ6/AI6-1</f>
        <v>-3.1949493017026986E-2</v>
      </c>
      <c r="AK22" s="3">
        <f t="shared" si="11"/>
        <v>0.80513833992094863</v>
      </c>
      <c r="AL22" s="3">
        <f t="shared" si="11"/>
        <v>0.28038099408802286</v>
      </c>
      <c r="AM22" s="3">
        <f t="shared" si="11"/>
        <v>0.1100000000000001</v>
      </c>
      <c r="AN22" s="3">
        <f t="shared" ref="AN22" si="12">+AN6/AM6-1</f>
        <v>-0.24</v>
      </c>
      <c r="AO22" s="3">
        <f t="shared" ref="AO22" si="13">+AO6/AN6-1</f>
        <v>0.22999999999999998</v>
      </c>
      <c r="AP22" s="3">
        <f t="shared" ref="AP22" si="14">+AP6/AO6-1</f>
        <v>0.15999999999999992</v>
      </c>
      <c r="AQ22" s="3">
        <f t="shared" ref="AQ22" si="15">+AQ6/AP6-1</f>
        <v>8.0000000000000071E-2</v>
      </c>
      <c r="AR22" s="3">
        <f t="shared" ref="AR22" si="16">+AR6/AQ6-1</f>
        <v>8.0000000000000071E-2</v>
      </c>
      <c r="AS22" s="3">
        <f t="shared" ref="AS22" si="17">+AS6/AR6-1</f>
        <v>8.0000000000000071E-2</v>
      </c>
      <c r="AT22" s="3">
        <f t="shared" ref="AT22" si="18">+AT6/AS6-1</f>
        <v>8.0000000000000071E-2</v>
      </c>
      <c r="AU22" s="3">
        <f t="shared" ref="AU22" si="19">+AU6/AT6-1</f>
        <v>4.0000000000000036E-2</v>
      </c>
      <c r="AV22" s="3">
        <f t="shared" ref="AV22" si="20">+AV6/AU6-1</f>
        <v>4.0000000000000036E-2</v>
      </c>
      <c r="AW22" s="3">
        <f t="shared" ref="AW22" si="21">+AW6/AV6-1</f>
        <v>4.0000000000000036E-2</v>
      </c>
    </row>
    <row r="23" spans="2:139" x14ac:dyDescent="0.15">
      <c r="B23" s="2" t="s">
        <v>48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>
        <f t="shared" ref="Y23" si="22">AVERAGE(V22:Y22)</f>
        <v>0.27997180341906369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S23" s="7"/>
    </row>
    <row r="24" spans="2:139" x14ac:dyDescent="0.15">
      <c r="B24" s="2" t="s">
        <v>49</v>
      </c>
      <c r="T24" s="3"/>
      <c r="U24" s="3">
        <f>+U12/U6</f>
        <v>0.25884016973125884</v>
      </c>
      <c r="W24" s="3"/>
      <c r="X24" s="3"/>
      <c r="Y24" s="7">
        <f>+Y14/Y6</f>
        <v>0.41890205864004992</v>
      </c>
      <c r="AG24" s="3"/>
      <c r="AH24" s="3"/>
      <c r="AI24" s="3">
        <f>+AI12/AI6</f>
        <v>-2.2192462215419935E-2</v>
      </c>
      <c r="AJ24" s="3">
        <f t="shared" ref="AJ24:AM24" si="23">+AJ12/AJ6</f>
        <v>-0.2308300395256917</v>
      </c>
      <c r="AK24" s="3">
        <f t="shared" si="23"/>
        <v>0.34858769432888109</v>
      </c>
      <c r="AL24" s="3">
        <f t="shared" si="23"/>
        <v>0.26421547669944423</v>
      </c>
      <c r="AM24" s="3">
        <f t="shared" si="23"/>
        <v>0.15</v>
      </c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2:139" x14ac:dyDescent="0.15">
      <c r="B25" s="2" t="s">
        <v>24</v>
      </c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>
        <f>+AJ15/AJ14</f>
        <v>4.8519736842105261E-2</v>
      </c>
      <c r="AK25" s="3">
        <f t="shared" ref="AK25:AM25" si="24">+AK15/AK14</f>
        <v>-0.16393442622950818</v>
      </c>
      <c r="AL25" s="3">
        <f t="shared" si="24"/>
        <v>1.0677344010677344E-2</v>
      </c>
      <c r="AM25" s="3">
        <f t="shared" si="24"/>
        <v>0.02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 spans="2:139" x14ac:dyDescent="0.15">
      <c r="B26" s="2" t="s">
        <v>56</v>
      </c>
      <c r="U26" s="3">
        <f>+U17/U16</f>
        <v>0.30727023319615915</v>
      </c>
      <c r="V26" s="3"/>
      <c r="W26" s="3"/>
      <c r="X26" s="3"/>
      <c r="Y26" s="3">
        <f t="shared" ref="V26:Y26" si="25">+Y17/Y16</f>
        <v>0.2810625535561268</v>
      </c>
      <c r="Z26" s="3"/>
      <c r="AA26" s="3"/>
      <c r="AB26" s="3"/>
      <c r="AC26" s="3"/>
      <c r="AD26" s="3"/>
      <c r="AE26" s="3"/>
      <c r="AF26" s="3"/>
      <c r="AG26" s="3"/>
      <c r="AH26" s="3"/>
      <c r="AI26" s="3">
        <f>AI17/AI16</f>
        <v>0.41176470588235292</v>
      </c>
      <c r="AJ26" s="3">
        <f t="shared" ref="AJ26:AL26" si="26">AJ17/AJ16</f>
        <v>8.4701815038893694E-2</v>
      </c>
      <c r="AK26" s="3">
        <f t="shared" si="26"/>
        <v>0.29218447942557307</v>
      </c>
      <c r="AL26" s="3">
        <f t="shared" si="26"/>
        <v>0.36762225969645868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</row>
    <row r="27" spans="2:139" x14ac:dyDescent="0.15">
      <c r="AY27" t="s">
        <v>25</v>
      </c>
      <c r="AZ27" s="7">
        <v>5.0000000000000001E-3</v>
      </c>
    </row>
    <row r="28" spans="2:139" s="2" customFormat="1" x14ac:dyDescent="0.15">
      <c r="B28" s="2" t="s">
        <v>3</v>
      </c>
      <c r="AY28" t="s">
        <v>26</v>
      </c>
      <c r="AZ28" s="7">
        <v>8.5000000000000006E-2</v>
      </c>
    </row>
    <row r="29" spans="2:139" x14ac:dyDescent="0.15">
      <c r="B29" t="s">
        <v>15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L29" s="6"/>
      <c r="AM29" s="6"/>
      <c r="AN29" s="6"/>
      <c r="AY29" t="s">
        <v>27</v>
      </c>
      <c r="AZ29" s="8">
        <f>+NPV(AZ28,AM16:EI16)+Main!L5-Main!L6</f>
        <v>14286.801686219165</v>
      </c>
    </row>
    <row r="30" spans="2:139" s="2" customFormat="1" x14ac:dyDescent="0.15">
      <c r="B30" s="2" t="s">
        <v>16</v>
      </c>
      <c r="AY30" t="s">
        <v>28</v>
      </c>
      <c r="AZ30" s="3">
        <f>+AZ29/Main!L4-1</f>
        <v>0.18084589093922321</v>
      </c>
    </row>
    <row r="31" spans="2:139" s="2" customFormat="1" x14ac:dyDescent="0.15">
      <c r="AY31" t="s">
        <v>55</v>
      </c>
      <c r="AZ31" s="11">
        <f>+AZ29/Main!L3</f>
        <v>303.54824472483671</v>
      </c>
    </row>
    <row r="32" spans="2:139" s="2" customFormat="1" x14ac:dyDescent="0.15">
      <c r="B32" s="2" t="s">
        <v>45</v>
      </c>
    </row>
    <row r="33" spans="2:82" s="2" customFormat="1" x14ac:dyDescent="0.15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2:82" s="2" customFormat="1" x14ac:dyDescent="0.15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2:82" s="2" customFormat="1" x14ac:dyDescent="0.15">
      <c r="B35" s="2" t="s">
        <v>18</v>
      </c>
      <c r="AX35" s="2">
        <f>+AW35</f>
        <v>0</v>
      </c>
      <c r="AY35" s="2">
        <f t="shared" ref="AY35:CD35" si="27">+AX35</f>
        <v>0</v>
      </c>
      <c r="AZ35" s="2">
        <f t="shared" si="27"/>
        <v>0</v>
      </c>
      <c r="BA35" s="2">
        <f t="shared" si="27"/>
        <v>0</v>
      </c>
      <c r="BB35" s="2">
        <f t="shared" si="27"/>
        <v>0</v>
      </c>
      <c r="BC35" s="2">
        <f t="shared" si="27"/>
        <v>0</v>
      </c>
      <c r="BD35" s="2">
        <f t="shared" si="27"/>
        <v>0</v>
      </c>
      <c r="BE35" s="2">
        <f t="shared" si="27"/>
        <v>0</v>
      </c>
      <c r="BF35" s="2">
        <f t="shared" si="27"/>
        <v>0</v>
      </c>
      <c r="BG35" s="2">
        <f t="shared" si="27"/>
        <v>0</v>
      </c>
      <c r="BH35" s="2">
        <f t="shared" si="27"/>
        <v>0</v>
      </c>
      <c r="BI35" s="2">
        <f t="shared" si="27"/>
        <v>0</v>
      </c>
      <c r="BJ35" s="2">
        <f t="shared" si="27"/>
        <v>0</v>
      </c>
      <c r="BK35" s="2">
        <f t="shared" si="27"/>
        <v>0</v>
      </c>
      <c r="BL35" s="2">
        <f t="shared" si="27"/>
        <v>0</v>
      </c>
      <c r="BM35" s="2">
        <f t="shared" si="27"/>
        <v>0</v>
      </c>
      <c r="BN35" s="2">
        <f t="shared" si="27"/>
        <v>0</v>
      </c>
      <c r="BO35" s="2">
        <f t="shared" si="27"/>
        <v>0</v>
      </c>
      <c r="BP35" s="2">
        <f t="shared" si="27"/>
        <v>0</v>
      </c>
      <c r="BQ35" s="2">
        <f t="shared" si="27"/>
        <v>0</v>
      </c>
      <c r="BR35" s="2">
        <f t="shared" si="27"/>
        <v>0</v>
      </c>
      <c r="BS35" s="2">
        <f t="shared" si="27"/>
        <v>0</v>
      </c>
      <c r="BT35" s="2">
        <f t="shared" si="27"/>
        <v>0</v>
      </c>
      <c r="BU35" s="2">
        <f t="shared" si="27"/>
        <v>0</v>
      </c>
      <c r="BV35" s="2">
        <f t="shared" si="27"/>
        <v>0</v>
      </c>
      <c r="BW35" s="2">
        <f t="shared" si="27"/>
        <v>0</v>
      </c>
      <c r="BX35" s="2">
        <f t="shared" si="27"/>
        <v>0</v>
      </c>
      <c r="BY35" s="2">
        <f t="shared" si="27"/>
        <v>0</v>
      </c>
      <c r="BZ35" s="2">
        <f t="shared" si="27"/>
        <v>0</v>
      </c>
      <c r="CA35" s="2">
        <f t="shared" si="27"/>
        <v>0</v>
      </c>
      <c r="CB35" s="2">
        <f t="shared" si="27"/>
        <v>0</v>
      </c>
      <c r="CC35" s="2">
        <f t="shared" si="27"/>
        <v>0</v>
      </c>
      <c r="CD35" s="2">
        <f t="shared" si="27"/>
        <v>0</v>
      </c>
    </row>
    <row r="36" spans="2:82" s="2" customFormat="1" x14ac:dyDescent="0.15">
      <c r="AG36" s="3" t="e">
        <f>+AG35/AG16</f>
        <v>#DIV/0!</v>
      </c>
      <c r="AH36" s="3" t="e">
        <f t="shared" ref="AH36:AI36" si="28">+AH35/AH16</f>
        <v>#DIV/0!</v>
      </c>
      <c r="AI36" s="3">
        <f t="shared" si="28"/>
        <v>0</v>
      </c>
      <c r="AJ36" s="3">
        <f>+AJ35/AJ16</f>
        <v>0</v>
      </c>
      <c r="AK36" s="3">
        <f t="shared" ref="AK36:AL36" si="29">+AK35/AK16</f>
        <v>0</v>
      </c>
      <c r="AL36" s="3">
        <f t="shared" si="29"/>
        <v>0</v>
      </c>
    </row>
    <row r="37" spans="2:82" s="3" customFormat="1" x14ac:dyDescent="0.15"/>
    <row r="39" spans="2:82" x14ac:dyDescent="0.15">
      <c r="AH39" s="3"/>
      <c r="AN39" s="3"/>
      <c r="AR39" t="s">
        <v>25</v>
      </c>
      <c r="AS39" s="3">
        <v>0</v>
      </c>
    </row>
    <row r="40" spans="2:82" x14ac:dyDescent="0.15">
      <c r="AR40" t="s">
        <v>26</v>
      </c>
      <c r="AS40" s="7">
        <v>8.5000000000000006E-2</v>
      </c>
    </row>
    <row r="41" spans="2:82" x14ac:dyDescent="0.15">
      <c r="AR41" t="s">
        <v>27</v>
      </c>
      <c r="AS41" s="8">
        <f>+NPV(AS40,AM35:CJ35)</f>
        <v>0</v>
      </c>
    </row>
    <row r="42" spans="2:82" x14ac:dyDescent="0.15">
      <c r="AS42">
        <f>+AS41/Main!L3</f>
        <v>0</v>
      </c>
    </row>
  </sheetData>
  <phoneticPr fontId="3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28087-23FA-AF40-AEF1-FD9FB0A6E10D}">
  <dimension ref="A1"/>
  <sheetViews>
    <sheetView topLeftCell="E17" workbookViewId="0"/>
  </sheetViews>
  <sheetFormatPr baseColWidth="10" defaultRowHeight="13" x14ac:dyDescent="0.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Zhuping Liu</cp:lastModifiedBy>
  <dcterms:created xsi:type="dcterms:W3CDTF">2025-04-14T15:08:02Z</dcterms:created>
  <dcterms:modified xsi:type="dcterms:W3CDTF">2025-10-04T03:44:11Z</dcterms:modified>
</cp:coreProperties>
</file>